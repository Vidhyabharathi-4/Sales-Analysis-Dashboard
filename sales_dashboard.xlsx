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wnloads\sales_excel_dashboard\"/>
    </mc:Choice>
  </mc:AlternateContent>
  <bookViews>
    <workbookView xWindow="0" yWindow="0" windowWidth="15530" windowHeight="6930" activeTab="1"/>
  </bookViews>
  <sheets>
    <sheet name="Sheet3" sheetId="3" r:id="rId1"/>
    <sheet name="Sheet4" sheetId="4" r:id="rId2"/>
    <sheet name="Sheet1" sheetId="1" r:id="rId3"/>
  </sheets>
  <definedNames>
    <definedName name="Slicer_Product">#N/A</definedName>
    <definedName name="Slicer_Region">#N/A</definedName>
    <definedName name="Slicer_Sales_Person">#N/A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8" i="1" l="1"/>
  <c r="L6" i="1"/>
  <c r="L4" i="1"/>
  <c r="L2" i="1"/>
</calcChain>
</file>

<file path=xl/sharedStrings.xml><?xml version="1.0" encoding="utf-8"?>
<sst xmlns="http://schemas.openxmlformats.org/spreadsheetml/2006/main" count="223" uniqueCount="37">
  <si>
    <t>Date</t>
  </si>
  <si>
    <t>Sales Person</t>
  </si>
  <si>
    <t>Region</t>
  </si>
  <si>
    <t>Product</t>
  </si>
  <si>
    <t>Units Sold</t>
  </si>
  <si>
    <t>Unit Price</t>
  </si>
  <si>
    <t>Cost of Goods</t>
  </si>
  <si>
    <t>Total Sales</t>
  </si>
  <si>
    <t>Profit</t>
  </si>
  <si>
    <t>Aarav</t>
  </si>
  <si>
    <t>North</t>
  </si>
  <si>
    <t>Laptop</t>
  </si>
  <si>
    <t>Diya</t>
  </si>
  <si>
    <t>South</t>
  </si>
  <si>
    <t>Mobile</t>
  </si>
  <si>
    <t>Rahul</t>
  </si>
  <si>
    <t>East</t>
  </si>
  <si>
    <t>Tablet</t>
  </si>
  <si>
    <t>Priya</t>
  </si>
  <si>
    <t>West</t>
  </si>
  <si>
    <t>Headphones</t>
  </si>
  <si>
    <t>Karthik</t>
  </si>
  <si>
    <t>Monitor</t>
  </si>
  <si>
    <t>Sneha</t>
  </si>
  <si>
    <t>Keyboard</t>
  </si>
  <si>
    <t>Vikram</t>
  </si>
  <si>
    <t>Mouse</t>
  </si>
  <si>
    <t>Ananya</t>
  </si>
  <si>
    <t>Printer</t>
  </si>
  <si>
    <t>Rohit</t>
  </si>
  <si>
    <t>Meena</t>
  </si>
  <si>
    <t>Grand Total</t>
  </si>
  <si>
    <t>Unit Sold</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</si>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</sst>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 #,##0.00"/>
    <numFmt numFmtId="165" formatCode="&quot;₹&quot;\ #,##0"/>
    <numFmt numFmtId="166" formatCode="&quot;₹.&quot;##\.##,&quot;L&quot;\ "/>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2" borderId="0" xfId="0" applyFont="1" applyFill="1"/>
    <xf numFmtId="164" fontId="1" fillId="2" borderId="0" xfId="0" applyNumberFormat="1" applyFont="1" applyFill="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4">
    <dxf>
      <numFmt numFmtId="164" formatCode="&quot;₹&quot;\ #,##0.00"/>
    </dxf>
    <dxf>
      <numFmt numFmtId="166" formatCode="&quot;₹.&quot;##\.##,&quot;L&quot;\ "/>
    </dxf>
    <dxf>
      <numFmt numFmtId="164" formatCode="&quot;₹&quot;\ #,##0.00"/>
    </dxf>
    <dxf>
      <numFmt numFmtId="166" formatCode="&quot;₹.&quot;##\.##,&quot;L&quot;\ "/>
    </dxf>
    <dxf>
      <numFmt numFmtId="164" formatCode="&quot;₹&quot;\ #,##0.00"/>
    </dxf>
    <dxf>
      <numFmt numFmtId="166" formatCode="&quot;₹.&quot;##\.##,&quot;L&quot;\ "/>
    </dxf>
    <dxf>
      <numFmt numFmtId="164" formatCode="&quot;₹&quot;\ #,##0.00"/>
    </dxf>
    <dxf>
      <numFmt numFmtId="166" formatCode="&quot;₹.&quot;##\.##,&quot;L&quot;\ "/>
    </dxf>
    <dxf>
      <numFmt numFmtId="164" formatCode="&quot;₹&quot;\ #,##0.00"/>
    </dxf>
    <dxf>
      <numFmt numFmtId="166" formatCode="&quot;₹.&quot;##\.##,&quot;L&quot;\ "/>
    </dxf>
    <dxf>
      <numFmt numFmtId="164" formatCode="&quot;₹&quot;\ #,##0.00"/>
    </dxf>
    <dxf>
      <numFmt numFmtId="166" formatCode="&quot;₹.&quot;##\.##,&quot;L&quot;\ "/>
    </dxf>
    <dxf>
      <numFmt numFmtId="164" formatCode="&quot;₹&quot;\ #,##0.00"/>
    </dxf>
    <dxf>
      <numFmt numFmtId="164" formatCode="&quot;₹&quot;\ #,##0.00"/>
    </dxf>
    <dxf>
      <numFmt numFmtId="164" formatCode="&quot;₹&quot;\ #,##0.00"/>
    </dxf>
    <dxf>
      <numFmt numFmtId="164" formatCode="&quot;₹&quot;\ #,##0.00"/>
    </dxf>
    <dxf>
      <numFmt numFmtId="19" formatCode="dd/mm/yyyy"/>
    </dxf>
    <dxf>
      <font>
        <b val="0"/>
        <i val="0"/>
        <strike val="0"/>
        <condense val="0"/>
        <extend val="0"/>
        <outline val="0"/>
        <shadow val="0"/>
        <u val="none"/>
        <vertAlign val="baseline"/>
        <sz val="11"/>
        <color theme="0"/>
        <name val="Calibri"/>
        <scheme val="minor"/>
      </font>
      <numFmt numFmtId="164" formatCode="&quot;₹&quot;\ #,##0.00"/>
      <fill>
        <patternFill patternType="solid">
          <fgColor indexed="64"/>
          <bgColor theme="3"/>
        </patternFill>
      </fill>
    </dxf>
    <dxf>
      <numFmt numFmtId="166" formatCode="&quot;₹.&quot;##\.##,&quot;L&quot;\ "/>
    </dxf>
    <dxf>
      <numFmt numFmtId="164" formatCode="&quot;₹&quot;\ #,##0.00"/>
    </dxf>
    <dxf>
      <numFmt numFmtId="166" formatCode="&quot;₹.&quot;##\.##,&quot;L&quot;\ "/>
    </dxf>
    <dxf>
      <numFmt numFmtId="164" formatCode="&quot;₹&quot;\ #,##0.00"/>
    </dxf>
    <dxf>
      <numFmt numFmtId="166" formatCode="&quot;₹.&quot;##\.##,&quot;L&quot;\ "/>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2"/>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541167066346919E-2"/>
              <c:y val="-3.169572107765451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356514788169462E-2"/>
              <c:y val="4.437400950871632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541167066346919E-2"/>
              <c:y val="-3.169572107765451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84652278177457E-2"/>
              <c:y val="-0.1521394611727416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356514788169462E-2"/>
              <c:y val="4.437400950871632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B5D-4DEB-8F0C-BF77AEF2C1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5D-4DEB-8F0C-BF77AEF2C1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B5D-4DEB-8F0C-BF77AEF2C1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B5D-4DEB-8F0C-BF77AEF2C194}"/>
              </c:ext>
            </c:extLst>
          </c:dPt>
          <c:dLbls>
            <c:dLbl>
              <c:idx val="0"/>
              <c:layout>
                <c:manualLayout>
                  <c:x val="7.3541167066346919E-2"/>
                  <c:y val="-3.16957210776545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B5D-4DEB-8F0C-BF77AEF2C194}"/>
                </c:ext>
              </c:extLst>
            </c:dLbl>
            <c:dLbl>
              <c:idx val="1"/>
              <c:layout>
                <c:manualLayout>
                  <c:x val="5.4356514788169462E-2"/>
                  <c:y val="4.43740095087163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5D-4DEB-8F0C-BF77AEF2C194}"/>
                </c:ext>
              </c:extLst>
            </c:dLbl>
            <c:dLbl>
              <c:idx val="2"/>
              <c:layout>
                <c:manualLayout>
                  <c:x val="7.3541167066346919E-2"/>
                  <c:y val="-3.16957210776545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B5D-4DEB-8F0C-BF77AEF2C194}"/>
                </c:ext>
              </c:extLst>
            </c:dLbl>
            <c:dLbl>
              <c:idx val="3"/>
              <c:layout>
                <c:manualLayout>
                  <c:x val="5.4356514788169462E-2"/>
                  <c:y val="4.43740095087163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B5D-4DEB-8F0C-BF77AEF2C19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East</c:v>
                </c:pt>
                <c:pt idx="1">
                  <c:v>North</c:v>
                </c:pt>
                <c:pt idx="2">
                  <c:v>South</c:v>
                </c:pt>
                <c:pt idx="3">
                  <c:v>West</c:v>
                </c:pt>
              </c:strCache>
            </c:strRef>
          </c:cat>
          <c:val>
            <c:numRef>
              <c:f>Sheet3!$B$4:$B$8</c:f>
              <c:numCache>
                <c:formatCode>"₹."##\.##,"L"\ </c:formatCode>
                <c:ptCount val="4"/>
                <c:pt idx="0">
                  <c:v>1956010</c:v>
                </c:pt>
                <c:pt idx="1">
                  <c:v>2547000</c:v>
                </c:pt>
                <c:pt idx="2">
                  <c:v>2103850</c:v>
                </c:pt>
                <c:pt idx="3">
                  <c:v>1262000</c:v>
                </c:pt>
              </c:numCache>
            </c:numRef>
          </c:val>
          <c:extLst>
            <c:ext xmlns:c16="http://schemas.microsoft.com/office/drawing/2014/chart" uri="{C3380CC4-5D6E-409C-BE32-E72D297353CC}">
              <c16:uniqueId val="{00000000-06D0-40E3-9B49-A42435E4EA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Sheet3!$D$4:$D$12</c:f>
              <c:strCache>
                <c:ptCount val="8"/>
                <c:pt idx="0">
                  <c:v>Headphones</c:v>
                </c:pt>
                <c:pt idx="1">
                  <c:v>Keyboard</c:v>
                </c:pt>
                <c:pt idx="2">
                  <c:v>Laptop</c:v>
                </c:pt>
                <c:pt idx="3">
                  <c:v>Mobile</c:v>
                </c:pt>
                <c:pt idx="4">
                  <c:v>Monitor</c:v>
                </c:pt>
                <c:pt idx="5">
                  <c:v>Mouse</c:v>
                </c:pt>
                <c:pt idx="6">
                  <c:v>Printer</c:v>
                </c:pt>
                <c:pt idx="7">
                  <c:v>Tablet</c:v>
                </c:pt>
              </c:strCache>
            </c:strRef>
          </c:cat>
          <c:val>
            <c:numRef>
              <c:f>Sheet3!$E$4:$E$12</c:f>
              <c:numCache>
                <c:formatCode>"₹."##\.##,"L"\ </c:formatCode>
                <c:ptCount val="8"/>
                <c:pt idx="0">
                  <c:v>498500</c:v>
                </c:pt>
                <c:pt idx="1">
                  <c:v>286350</c:v>
                </c:pt>
                <c:pt idx="2">
                  <c:v>1993000</c:v>
                </c:pt>
                <c:pt idx="3">
                  <c:v>1817500</c:v>
                </c:pt>
                <c:pt idx="4">
                  <c:v>554000</c:v>
                </c:pt>
                <c:pt idx="5">
                  <c:v>224510</c:v>
                </c:pt>
                <c:pt idx="6">
                  <c:v>763500</c:v>
                </c:pt>
                <c:pt idx="7">
                  <c:v>1731500</c:v>
                </c:pt>
              </c:numCache>
            </c:numRef>
          </c:val>
          <c:extLst>
            <c:ext xmlns:c16="http://schemas.microsoft.com/office/drawing/2014/chart" uri="{C3380CC4-5D6E-409C-BE32-E72D297353CC}">
              <c16:uniqueId val="{00000000-8C42-4CAD-AE15-8D5FD5BDC50D}"/>
            </c:ext>
          </c:extLst>
        </c:ser>
        <c:dLbls>
          <c:dLblPos val="outEnd"/>
          <c:showLegendKey val="0"/>
          <c:showVal val="1"/>
          <c:showCatName val="0"/>
          <c:showSerName val="0"/>
          <c:showPercent val="0"/>
          <c:showBubbleSize val="0"/>
        </c:dLbls>
        <c:gapWidth val="182"/>
        <c:axId val="420087280"/>
        <c:axId val="420086952"/>
      </c:barChart>
      <c:catAx>
        <c:axId val="42008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86952"/>
        <c:crosses val="autoZero"/>
        <c:auto val="1"/>
        <c:lblAlgn val="ctr"/>
        <c:lblOffset val="100"/>
        <c:noMultiLvlLbl val="0"/>
      </c:catAx>
      <c:valAx>
        <c:axId val="420086952"/>
        <c:scaling>
          <c:orientation val="minMax"/>
        </c:scaling>
        <c:delete val="0"/>
        <c:axPos val="b"/>
        <c:numFmt formatCode="&quot;₹.&quot;##\.##,&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8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Sheet3!$I$3</c:f>
              <c:strCache>
                <c:ptCount val="1"/>
                <c:pt idx="0">
                  <c:v>Total</c:v>
                </c:pt>
              </c:strCache>
            </c:strRef>
          </c:tx>
          <c:spPr>
            <a:solidFill>
              <a:schemeClr val="accent1"/>
            </a:solidFill>
            <a:ln>
              <a:noFill/>
            </a:ln>
            <a:effectLst/>
          </c:spPr>
          <c:invertIfNegative val="0"/>
          <c:cat>
            <c:strRef>
              <c:f>Sheet3!$H$4:$H$14</c:f>
              <c:strCache>
                <c:ptCount val="10"/>
                <c:pt idx="0">
                  <c:v>Aarav</c:v>
                </c:pt>
                <c:pt idx="1">
                  <c:v>Ananya</c:v>
                </c:pt>
                <c:pt idx="2">
                  <c:v>Diya</c:v>
                </c:pt>
                <c:pt idx="3">
                  <c:v>Karthik</c:v>
                </c:pt>
                <c:pt idx="4">
                  <c:v>Meena</c:v>
                </c:pt>
                <c:pt idx="5">
                  <c:v>Priya</c:v>
                </c:pt>
                <c:pt idx="6">
                  <c:v>Rahul</c:v>
                </c:pt>
                <c:pt idx="7">
                  <c:v>Rohit</c:v>
                </c:pt>
                <c:pt idx="8">
                  <c:v>Sneha</c:v>
                </c:pt>
                <c:pt idx="9">
                  <c:v>Vikram</c:v>
                </c:pt>
              </c:strCache>
            </c:strRef>
          </c:cat>
          <c:val>
            <c:numRef>
              <c:f>Sheet3!$I$4:$I$14</c:f>
              <c:numCache>
                <c:formatCode>"₹."##\.##,"L"\ </c:formatCode>
                <c:ptCount val="10"/>
                <c:pt idx="0">
                  <c:v>1296300</c:v>
                </c:pt>
                <c:pt idx="1">
                  <c:v>500750</c:v>
                </c:pt>
                <c:pt idx="2">
                  <c:v>854500</c:v>
                </c:pt>
                <c:pt idx="3">
                  <c:v>859500</c:v>
                </c:pt>
                <c:pt idx="4">
                  <c:v>771500</c:v>
                </c:pt>
                <c:pt idx="5">
                  <c:v>590500</c:v>
                </c:pt>
                <c:pt idx="6">
                  <c:v>995460</c:v>
                </c:pt>
                <c:pt idx="7">
                  <c:v>697000</c:v>
                </c:pt>
                <c:pt idx="8">
                  <c:v>648600</c:v>
                </c:pt>
                <c:pt idx="9">
                  <c:v>654750</c:v>
                </c:pt>
              </c:numCache>
            </c:numRef>
          </c:val>
          <c:extLst>
            <c:ext xmlns:c16="http://schemas.microsoft.com/office/drawing/2014/chart" uri="{C3380CC4-5D6E-409C-BE32-E72D297353CC}">
              <c16:uniqueId val="{00000000-43D5-487B-AD47-8833501D14AC}"/>
            </c:ext>
          </c:extLst>
        </c:ser>
        <c:dLbls>
          <c:showLegendKey val="0"/>
          <c:showVal val="0"/>
          <c:showCatName val="0"/>
          <c:showSerName val="0"/>
          <c:showPercent val="0"/>
          <c:showBubbleSize val="0"/>
        </c:dLbls>
        <c:gapWidth val="219"/>
        <c:overlap val="-27"/>
        <c:axId val="472986128"/>
        <c:axId val="472985144"/>
      </c:barChart>
      <c:catAx>
        <c:axId val="4729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85144"/>
        <c:crosses val="autoZero"/>
        <c:auto val="1"/>
        <c:lblAlgn val="ctr"/>
        <c:lblOffset val="100"/>
        <c:noMultiLvlLbl val="0"/>
      </c:catAx>
      <c:valAx>
        <c:axId val="472985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8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[sales_dashboard.xlsx]Sheet3!PivotTable4</c:name>
    <c:fmtId val="18"/>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Sheet3!$L$3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Sheet3!$K$4:$K$12</c:f>
              <c:strCache>
                <c:ptCount val="8"/>
                <c:pt idx="0">
                  <c:v>Headphones</c:v>
                </c:pt>
                <c:pt idx="1">
                  <c:v>Keyboard</c:v>
                </c:pt>
                <c:pt idx="2">
                  <c:v>Laptop</c:v>
                </c:pt>
                <c:pt idx="3">
                  <c:v>Mobile</c:v>
                </c:pt>
                <c:pt idx="4">
                  <c:v>Monitor</c:v>
                </c:pt>
                <c:pt idx="5">
                  <c:v>Mouse</c:v>
                </c:pt>
                <c:pt idx="6">
                  <c:v>Printer</c:v>
                </c:pt>
                <c:pt idx="7">
                  <c:v>Tablet</c:v>
                </c:pt>
              </c:strCache>
            </c:strRef>
          </c:cat>
          <c:val>
            <c:numRef>
              <c:f>Sheet3!$L$4:$L$12</c:f>
              <c:numCache>
                <c:formatCode>General</c:formatCode>
                <c:ptCount val="8"/>
                <c:pt idx="0">
                  <c:v>158</c:v>
                </c:pt>
                <c:pt idx="1">
                  <c:v>178</c:v>
                </c:pt>
                <c:pt idx="2">
                  <c:v>34</c:v>
                </c:pt>
                <c:pt idx="3">
                  <c:v>84</c:v>
                </c:pt>
                <c:pt idx="4">
                  <c:v>41</c:v>
                </c:pt>
                <c:pt idx="5">
                  <c:v>253</c:v>
                </c:pt>
                <c:pt idx="6">
                  <c:v>40</c:v>
                </c:pt>
                <c:pt idx="7">
                  <c:v>57</c:v>
                </c:pt>
              </c:numCache>
            </c:numRef>
          </c:val>
          <c:smooth val="0"/>
          <c:extLst>
            <c:ext xmlns:c16="http://schemas.microsoft.com/office/drawing/2014/chart" uri="{C3380CC4-5D6E-409C-BE32-E72D297353CC}">
              <c16:uniqueId val="{00000000-680E-4C9D-AE4C-232BE2B63528}"/>
            </c:ext>
          </c:extLst>
        </c:ser>
        <c:dLbls>
          <c:showLegendKey val="0"/>
          <c:showVal val="0"/>
          <c:showCatName val="0"/>
          <c:showSerName val="0"/>
          <c:showPercent val="0"/>
          <c:showBubbleSize val="0"/>
        </c:dLbls>
        <c:marker val="1"/>
        <c:smooth val="0"/>
        <c:axId val="356153480"/>
        <c:axId val="461561688"/>
      </c:lineChart>
      <c:catAx>
        <c:axId val="356153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61688"/>
        <c:crosses val="autoZero"/>
        <c:auto val="1"/>
        <c:lblAlgn val="ctr"/>
        <c:lblOffset val="100"/>
        <c:noMultiLvlLbl val="0"/>
      </c:catAx>
      <c:valAx>
        <c:axId val="461561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5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layout>
        <c:manualLayout>
          <c:xMode val="edge"/>
          <c:yMode val="edge"/>
          <c:x val="3.6291686566807868E-2"/>
          <c:y val="2.31472129327913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7.3541167066346919E-2"/>
              <c:y val="-3.169572107765451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5.4356514788169462E-2"/>
              <c:y val="4.437400950871632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5.7553956834532377E-2"/>
              <c:y val="8.240887480190174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1.9184652278177457E-2"/>
              <c:y val="-0.15213946117274169"/>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7.3541167066346919E-2"/>
              <c:y val="-3.169572107765451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5.4356514788169462E-2"/>
              <c:y val="4.437400950871632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5.7553956834532377E-2"/>
              <c:y val="8.240887480190174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1.9184652278177457E-2"/>
              <c:y val="-0.15213946117274169"/>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7.3541167066346919E-2"/>
              <c:y val="-3.169572107765451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5.4356514788169462E-2"/>
              <c:y val="4.437400950871632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5.7553956834532377E-2"/>
              <c:y val="8.240887480190174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1.9184652278177457E-2"/>
              <c:y val="-0.15213946117274169"/>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dLbl>
          <c:idx val="0"/>
          <c:spPr>
            <a:noFill/>
            <a:ln>
              <a:noFill/>
            </a:ln>
            <a:effectLst>
              <a:glow rad="127000">
                <a:schemeClr val="bg1"/>
              </a:glow>
              <a:outerShdw blurRad="292100" dist="38100" dir="2700000" algn="tl" rotWithShape="0">
                <a:prstClr val="black">
                  <a:alpha val="67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dLbl>
          <c:idx val="0"/>
          <c:layout>
            <c:manualLayout>
              <c:x val="6.1872455373476597E-2"/>
              <c:y val="2.70050817549232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4"/>
        <c:dLbl>
          <c:idx val="0"/>
          <c:layout>
            <c:manualLayout>
              <c:x val="5.3622794657012973E-2"/>
              <c:y val="-2.70050817549232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5"/>
        <c:dLbl>
          <c:idx val="0"/>
          <c:layout>
            <c:manualLayout>
              <c:x val="-2.887381250762245E-2"/>
              <c:y val="-5.786803233197845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6"/>
        <c:dLbl>
          <c:idx val="0"/>
          <c:layout>
            <c:manualLayout>
              <c:x val="-2.0624151791158864E-2"/>
              <c:y val="8.873098290903343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622794657012973E-2"/>
              <c:y val="-2.7005081754923263E-2"/>
            </c:manualLayout>
          </c:layout>
          <c:showLegendKey val="1"/>
          <c:showVal val="0"/>
          <c:showCatName val="0"/>
          <c:showSerName val="0"/>
          <c:showPercent val="1"/>
          <c:showBubbleSize val="0"/>
          <c:separator> </c:separator>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872455373476597E-2"/>
              <c:y val="2.7005081754923263E-2"/>
            </c:manualLayout>
          </c:layout>
          <c:showLegendKey val="1"/>
          <c:showVal val="0"/>
          <c:showCatName val="0"/>
          <c:showSerName val="0"/>
          <c:showPercent val="1"/>
          <c:showBubbleSize val="0"/>
          <c:separator> </c:separator>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624151791158864E-2"/>
              <c:y val="8.8730982909033432E-2"/>
            </c:manualLayout>
          </c:layout>
          <c:showLegendKey val="1"/>
          <c:showVal val="0"/>
          <c:showCatName val="0"/>
          <c:showSerName val="0"/>
          <c:showPercent val="1"/>
          <c:showBubbleSize val="0"/>
          <c:separator> </c:separator>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981004019436071E-2"/>
              <c:y val="-6.9441638798374089E-2"/>
            </c:manualLayout>
          </c:layout>
          <c:showLegendKey val="1"/>
          <c:showVal val="0"/>
          <c:showCatName val="0"/>
          <c:showSerName val="0"/>
          <c:showPercent val="1"/>
          <c:showBubbleSize val="0"/>
          <c:separator> </c:separator>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B3-4CC9-878E-23EB1F2687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B3-4CC9-878E-23EB1F2687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B3-4CC9-878E-23EB1F2687B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4B3-4CC9-878E-23EB1F2687B0}"/>
              </c:ext>
            </c:extLst>
          </c:dPt>
          <c:dLbls>
            <c:delete val="1"/>
          </c:dLbls>
          <c:cat>
            <c:strRef>
              <c:f>Sheet3!$A$4:$A$8</c:f>
              <c:strCache>
                <c:ptCount val="4"/>
                <c:pt idx="0">
                  <c:v>East</c:v>
                </c:pt>
                <c:pt idx="1">
                  <c:v>North</c:v>
                </c:pt>
                <c:pt idx="2">
                  <c:v>South</c:v>
                </c:pt>
                <c:pt idx="3">
                  <c:v>West</c:v>
                </c:pt>
              </c:strCache>
            </c:strRef>
          </c:cat>
          <c:val>
            <c:numRef>
              <c:f>Sheet3!$B$4:$B$8</c:f>
              <c:numCache>
                <c:formatCode>"₹."##\.##,"L"\ </c:formatCode>
                <c:ptCount val="4"/>
                <c:pt idx="0">
                  <c:v>1956010</c:v>
                </c:pt>
                <c:pt idx="1">
                  <c:v>2547000</c:v>
                </c:pt>
                <c:pt idx="2">
                  <c:v>2103850</c:v>
                </c:pt>
                <c:pt idx="3">
                  <c:v>1262000</c:v>
                </c:pt>
              </c:numCache>
            </c:numRef>
          </c:val>
          <c:extLst>
            <c:ext xmlns:c16="http://schemas.microsoft.com/office/drawing/2014/chart" uri="{C3380CC4-5D6E-409C-BE32-E72D297353CC}">
              <c16:uniqueId val="{00000008-74B3-4CC9-878E-23EB1F2687B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a:glow rad="228600">
        <a:schemeClr val="accent5">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a:t>
            </a:r>
            <a:r>
              <a:rPr lang="en-US" baseline="0"/>
              <a:t> Sold by Product</a:t>
            </a:r>
          </a:p>
          <a:p>
            <a:pPr>
              <a:defRPr/>
            </a:pPr>
            <a:endParaRPr lang="en-US" sz="2000"/>
          </a:p>
        </c:rich>
      </c:tx>
      <c:layout>
        <c:manualLayout>
          <c:xMode val="edge"/>
          <c:yMode val="edge"/>
          <c:x val="3.1434418754410068E-2"/>
          <c:y val="2.296505363786641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Sheet3!$D$4:$D$12</c:f>
              <c:strCache>
                <c:ptCount val="8"/>
                <c:pt idx="0">
                  <c:v>Headphones</c:v>
                </c:pt>
                <c:pt idx="1">
                  <c:v>Keyboard</c:v>
                </c:pt>
                <c:pt idx="2">
                  <c:v>Laptop</c:v>
                </c:pt>
                <c:pt idx="3">
                  <c:v>Mobile</c:v>
                </c:pt>
                <c:pt idx="4">
                  <c:v>Monitor</c:v>
                </c:pt>
                <c:pt idx="5">
                  <c:v>Mouse</c:v>
                </c:pt>
                <c:pt idx="6">
                  <c:v>Printer</c:v>
                </c:pt>
                <c:pt idx="7">
                  <c:v>Tablet</c:v>
                </c:pt>
              </c:strCache>
            </c:strRef>
          </c:cat>
          <c:val>
            <c:numRef>
              <c:f>Sheet3!$E$4:$E$12</c:f>
              <c:numCache>
                <c:formatCode>"₹."##\.##,"L"\ </c:formatCode>
                <c:ptCount val="8"/>
                <c:pt idx="0">
                  <c:v>498500</c:v>
                </c:pt>
                <c:pt idx="1">
                  <c:v>286350</c:v>
                </c:pt>
                <c:pt idx="2">
                  <c:v>1993000</c:v>
                </c:pt>
                <c:pt idx="3">
                  <c:v>1817500</c:v>
                </c:pt>
                <c:pt idx="4">
                  <c:v>554000</c:v>
                </c:pt>
                <c:pt idx="5">
                  <c:v>224510</c:v>
                </c:pt>
                <c:pt idx="6">
                  <c:v>763500</c:v>
                </c:pt>
                <c:pt idx="7">
                  <c:v>1731500</c:v>
                </c:pt>
              </c:numCache>
            </c:numRef>
          </c:val>
          <c:extLst>
            <c:ext xmlns:c16="http://schemas.microsoft.com/office/drawing/2014/chart" uri="{C3380CC4-5D6E-409C-BE32-E72D297353CC}">
              <c16:uniqueId val="{00000000-33B5-4DC3-B668-7E36C3F7D154}"/>
            </c:ext>
          </c:extLst>
        </c:ser>
        <c:dLbls>
          <c:dLblPos val="outEnd"/>
          <c:showLegendKey val="0"/>
          <c:showVal val="1"/>
          <c:showCatName val="0"/>
          <c:showSerName val="0"/>
          <c:showPercent val="0"/>
          <c:showBubbleSize val="0"/>
        </c:dLbls>
        <c:gapWidth val="115"/>
        <c:overlap val="-20"/>
        <c:axId val="420087280"/>
        <c:axId val="420086952"/>
      </c:barChart>
      <c:catAx>
        <c:axId val="42008728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086952"/>
        <c:crosses val="autoZero"/>
        <c:auto val="1"/>
        <c:lblAlgn val="ctr"/>
        <c:lblOffset val="100"/>
        <c:noMultiLvlLbl val="0"/>
      </c:catAx>
      <c:valAx>
        <c:axId val="420086952"/>
        <c:scaling>
          <c:orientation val="minMax"/>
        </c:scaling>
        <c:delete val="0"/>
        <c:axPos val="b"/>
        <c:numFmt formatCode="&quot;₹.&quot;##\.##,&quot;L&quot;\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087280"/>
        <c:crosses val="autoZero"/>
        <c:crossBetween val="between"/>
      </c:valAx>
      <c:spPr>
        <a:noFill/>
        <a:ln>
          <a:solidFill>
            <a:schemeClr val="tx1">
              <a:lumMod val="65000"/>
              <a:lumOff val="35000"/>
            </a:schemeClr>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3"/>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17897151438562"/>
          <c:y val="4.9754273721160237E-2"/>
          <c:w val="0.75297974277934066"/>
          <c:h val="0.75585218172668345"/>
        </c:manualLayout>
      </c:layout>
      <c:barChart>
        <c:barDir val="col"/>
        <c:grouping val="clustered"/>
        <c:varyColors val="0"/>
        <c:ser>
          <c:idx val="0"/>
          <c:order val="0"/>
          <c:tx>
            <c:strRef>
              <c:f>Sheet3!$I$3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Sheet3!$H$4:$H$14</c:f>
              <c:strCache>
                <c:ptCount val="10"/>
                <c:pt idx="0">
                  <c:v>Aarav</c:v>
                </c:pt>
                <c:pt idx="1">
                  <c:v>Ananya</c:v>
                </c:pt>
                <c:pt idx="2">
                  <c:v>Diya</c:v>
                </c:pt>
                <c:pt idx="3">
                  <c:v>Karthik</c:v>
                </c:pt>
                <c:pt idx="4">
                  <c:v>Meena</c:v>
                </c:pt>
                <c:pt idx="5">
                  <c:v>Priya</c:v>
                </c:pt>
                <c:pt idx="6">
                  <c:v>Rahul</c:v>
                </c:pt>
                <c:pt idx="7">
                  <c:v>Rohit</c:v>
                </c:pt>
                <c:pt idx="8">
                  <c:v>Sneha</c:v>
                </c:pt>
                <c:pt idx="9">
                  <c:v>Vikram</c:v>
                </c:pt>
              </c:strCache>
            </c:strRef>
          </c:cat>
          <c:val>
            <c:numRef>
              <c:f>Sheet3!$I$4:$I$14</c:f>
              <c:numCache>
                <c:formatCode>"₹."##\.##,"L"\ </c:formatCode>
                <c:ptCount val="10"/>
                <c:pt idx="0">
                  <c:v>1296300</c:v>
                </c:pt>
                <c:pt idx="1">
                  <c:v>500750</c:v>
                </c:pt>
                <c:pt idx="2">
                  <c:v>854500</c:v>
                </c:pt>
                <c:pt idx="3">
                  <c:v>859500</c:v>
                </c:pt>
                <c:pt idx="4">
                  <c:v>771500</c:v>
                </c:pt>
                <c:pt idx="5">
                  <c:v>590500</c:v>
                </c:pt>
                <c:pt idx="6">
                  <c:v>995460</c:v>
                </c:pt>
                <c:pt idx="7">
                  <c:v>697000</c:v>
                </c:pt>
                <c:pt idx="8">
                  <c:v>648600</c:v>
                </c:pt>
                <c:pt idx="9">
                  <c:v>654750</c:v>
                </c:pt>
              </c:numCache>
            </c:numRef>
          </c:val>
          <c:extLst>
            <c:ext xmlns:c16="http://schemas.microsoft.com/office/drawing/2014/chart" uri="{C3380CC4-5D6E-409C-BE32-E72D297353CC}">
              <c16:uniqueId val="{00000000-AFCC-47AF-9491-6A172DC1F94C}"/>
            </c:ext>
          </c:extLst>
        </c:ser>
        <c:dLbls>
          <c:dLblPos val="outEnd"/>
          <c:showLegendKey val="0"/>
          <c:showVal val="1"/>
          <c:showCatName val="0"/>
          <c:showSerName val="0"/>
          <c:showPercent val="0"/>
          <c:showBubbleSize val="0"/>
        </c:dLbls>
        <c:gapWidth val="100"/>
        <c:overlap val="-24"/>
        <c:axId val="472986128"/>
        <c:axId val="472985144"/>
      </c:barChart>
      <c:catAx>
        <c:axId val="472986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985144"/>
        <c:crosses val="autoZero"/>
        <c:auto val="1"/>
        <c:lblAlgn val="ctr"/>
        <c:lblOffset val="100"/>
        <c:noMultiLvlLbl val="0"/>
      </c:catAx>
      <c:valAx>
        <c:axId val="472985144"/>
        <c:scaling>
          <c:orientation val="minMax"/>
        </c:scaling>
        <c:delete val="0"/>
        <c:axPos val="l"/>
        <c:numFmt formatCode="&quot;₹.&quot;##\.##,&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986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[sales_dashboard.xlsx]Sheet3!PivotTable4</c:name>
    <c:fmtId val="2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IN" sz="1800"/>
              <a:t>Sales</a:t>
            </a:r>
            <a:r>
              <a:rPr lang="en-IN" sz="1800" baseline="0"/>
              <a:t> by Sales Person</a:t>
            </a:r>
            <a:endParaRPr lang="en-IN" sz="1800"/>
          </a:p>
        </c:rich>
      </c:tx>
      <c:layout>
        <c:manualLayout>
          <c:xMode val="edge"/>
          <c:yMode val="edge"/>
          <c:x val="2.7718118583114536E-2"/>
          <c:y val="2.5762713239701761E-2"/>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Sheet3!$L$3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Sheet3!$K$4:$K$12</c:f>
              <c:strCache>
                <c:ptCount val="8"/>
                <c:pt idx="0">
                  <c:v>Headphones</c:v>
                </c:pt>
                <c:pt idx="1">
                  <c:v>Keyboard</c:v>
                </c:pt>
                <c:pt idx="2">
                  <c:v>Laptop</c:v>
                </c:pt>
                <c:pt idx="3">
                  <c:v>Mobile</c:v>
                </c:pt>
                <c:pt idx="4">
                  <c:v>Monitor</c:v>
                </c:pt>
                <c:pt idx="5">
                  <c:v>Mouse</c:v>
                </c:pt>
                <c:pt idx="6">
                  <c:v>Printer</c:v>
                </c:pt>
                <c:pt idx="7">
                  <c:v>Tablet</c:v>
                </c:pt>
              </c:strCache>
            </c:strRef>
          </c:cat>
          <c:val>
            <c:numRef>
              <c:f>Sheet3!$L$4:$L$12</c:f>
              <c:numCache>
                <c:formatCode>General</c:formatCode>
                <c:ptCount val="8"/>
                <c:pt idx="0">
                  <c:v>158</c:v>
                </c:pt>
                <c:pt idx="1">
                  <c:v>178</c:v>
                </c:pt>
                <c:pt idx="2">
                  <c:v>34</c:v>
                </c:pt>
                <c:pt idx="3">
                  <c:v>84</c:v>
                </c:pt>
                <c:pt idx="4">
                  <c:v>41</c:v>
                </c:pt>
                <c:pt idx="5">
                  <c:v>253</c:v>
                </c:pt>
                <c:pt idx="6">
                  <c:v>40</c:v>
                </c:pt>
                <c:pt idx="7">
                  <c:v>57</c:v>
                </c:pt>
              </c:numCache>
            </c:numRef>
          </c:val>
          <c:smooth val="0"/>
          <c:extLst>
            <c:ext xmlns:c16="http://schemas.microsoft.com/office/drawing/2014/chart" uri="{C3380CC4-5D6E-409C-BE32-E72D297353CC}">
              <c16:uniqueId val="{00000000-4CD0-4BED-AF50-1ECEFB90FFF3}"/>
            </c:ext>
          </c:extLst>
        </c:ser>
        <c:dLbls>
          <c:dLblPos val="t"/>
          <c:showLegendKey val="0"/>
          <c:showVal val="1"/>
          <c:showCatName val="0"/>
          <c:showSerName val="0"/>
          <c:showPercent val="0"/>
          <c:showBubbleSize val="0"/>
        </c:dLbls>
        <c:marker val="1"/>
        <c:smooth val="0"/>
        <c:axId val="356153480"/>
        <c:axId val="461561688"/>
      </c:lineChart>
      <c:catAx>
        <c:axId val="356153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561688"/>
        <c:crosses val="autoZero"/>
        <c:auto val="1"/>
        <c:lblAlgn val="ctr"/>
        <c:lblOffset val="100"/>
        <c:noMultiLvlLbl val="0"/>
      </c:catAx>
      <c:valAx>
        <c:axId val="461561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6153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tx1"/>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41275</xdr:rowOff>
    </xdr:from>
    <xdr:to>
      <xdr:col>4</xdr:col>
      <xdr:colOff>511175</xdr:colOff>
      <xdr:row>26</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625475</xdr:colOff>
      <xdr:row>15</xdr:row>
      <xdr:rowOff>66675</xdr:rowOff>
    </xdr:from>
    <xdr:to>
      <xdr:col>9</xdr:col>
      <xdr:colOff>139700</xdr:colOff>
      <xdr:row>26</xdr:row>
      <xdr:rowOff>50800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117475</xdr:colOff>
      <xdr:row>27</xdr:row>
      <xdr:rowOff>66675</xdr:rowOff>
    </xdr:from>
    <xdr:to>
      <xdr:col>4</xdr:col>
      <xdr:colOff>514350</xdr:colOff>
      <xdr:row>38</xdr:row>
      <xdr:rowOff>6350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657225</xdr:colOff>
      <xdr:row>26</xdr:row>
      <xdr:rowOff>180975</xdr:rowOff>
    </xdr:from>
    <xdr:to>
      <xdr:col>9</xdr:col>
      <xdr:colOff>209550</xdr:colOff>
      <xdr:row>38</xdr:row>
      <xdr:rowOff>63500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107950</xdr:colOff>
      <xdr:row>12</xdr:row>
      <xdr:rowOff>69850</xdr:rowOff>
    </xdr:from>
    <xdr:to>
      <xdr:col>15</xdr:col>
      <xdr:colOff>107950</xdr:colOff>
      <xdr:row>26</xdr:row>
      <xdr:rowOff>15875</xdr:rowOff>
    </xdr:to>
    <mc:AlternateContent xmlns:mc="http://schemas.openxmlformats.org/markup-compatibility/2006" xmlns:a14="http://schemas.microsoft.com/office/drawing/2010/main">
      <mc:Choice Requires="a14">
        <xdr:graphicFrame macro="">
          <xdr:nvGraphicFramePr>
            <xdr:cNvPr id="8"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0458450" y="2279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xdr:colOff>
      <xdr:row>14</xdr:row>
      <xdr:rowOff>127001</xdr:rowOff>
    </xdr:from>
    <xdr:to>
      <xdr:col>11</xdr:col>
      <xdr:colOff>971550</xdr:colOff>
      <xdr:row>20</xdr:row>
      <xdr:rowOff>69851</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58200" y="2705101"/>
              <a:ext cx="1778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101600</xdr:colOff>
      <xdr:row>2</xdr:row>
      <xdr:rowOff>57150</xdr:rowOff>
    </xdr:from>
    <xdr:to>
      <xdr:col>15</xdr:col>
      <xdr:colOff>101600</xdr:colOff>
      <xdr:row>11</xdr:row>
      <xdr:rowOff>149225</xdr:rowOff>
    </xdr:to>
    <mc:AlternateContent xmlns:mc="http://schemas.openxmlformats.org/markup-compatibility/2006" xmlns:a14="http://schemas.microsoft.com/office/drawing/2010/main">
      <mc:Choice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452100" y="425450"/>
              <a:ext cx="1828800" cy="1749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50132</xdr:colOff>
      <xdr:row>0</xdr:row>
      <xdr:rowOff>0</xdr:rowOff>
    </xdr:from>
    <xdr:to>
      <xdr:col>32</xdr:col>
      <xdr:colOff>79898</xdr:colOff>
      <xdr:row>56</xdr:row>
      <xdr:rowOff>58486</xdr:rowOff>
    </xdr:to>
    <xdr:sp macro="" textlink="">
      <xdr:nvSpPr>
        <xdr:cNvPr id="3" name="Rectangle 2"/>
        <xdr:cNvSpPr/>
      </xdr:nvSpPr>
      <xdr:spPr>
        <a:xfrm>
          <a:off x="50132" y="0"/>
          <a:ext cx="19547661" cy="10352170"/>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98550</xdr:colOff>
      <xdr:row>0</xdr:row>
      <xdr:rowOff>75197</xdr:rowOff>
    </xdr:from>
    <xdr:to>
      <xdr:col>25</xdr:col>
      <xdr:colOff>25066</xdr:colOff>
      <xdr:row>5</xdr:row>
      <xdr:rowOff>68847</xdr:rowOff>
    </xdr:to>
    <xdr:sp macro="" textlink="">
      <xdr:nvSpPr>
        <xdr:cNvPr id="2" name="Rounded Rectangle 1"/>
        <xdr:cNvSpPr/>
      </xdr:nvSpPr>
      <xdr:spPr>
        <a:xfrm>
          <a:off x="98550" y="75197"/>
          <a:ext cx="15174871" cy="912729"/>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105834</xdr:colOff>
      <xdr:row>5</xdr:row>
      <xdr:rowOff>119836</xdr:rowOff>
    </xdr:from>
    <xdr:to>
      <xdr:col>5</xdr:col>
      <xdr:colOff>65128</xdr:colOff>
      <xdr:row>10</xdr:row>
      <xdr:rowOff>113486</xdr:rowOff>
    </xdr:to>
    <xdr:sp macro="" textlink="">
      <xdr:nvSpPr>
        <xdr:cNvPr id="14" name="Rounded Rectangle 13"/>
        <xdr:cNvSpPr/>
      </xdr:nvSpPr>
      <xdr:spPr>
        <a:xfrm>
          <a:off x="105834" y="1056054"/>
          <a:ext cx="3012179" cy="929868"/>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200390</xdr:colOff>
      <xdr:row>5</xdr:row>
      <xdr:rowOff>134695</xdr:rowOff>
    </xdr:from>
    <xdr:to>
      <xdr:col>10</xdr:col>
      <xdr:colOff>159685</xdr:colOff>
      <xdr:row>10</xdr:row>
      <xdr:rowOff>128345</xdr:rowOff>
    </xdr:to>
    <xdr:sp macro="" textlink="">
      <xdr:nvSpPr>
        <xdr:cNvPr id="15" name="Rounded Rectangle 14"/>
        <xdr:cNvSpPr/>
      </xdr:nvSpPr>
      <xdr:spPr>
        <a:xfrm>
          <a:off x="3250061" y="1053774"/>
          <a:ext cx="3008966" cy="912729"/>
        </a:xfrm>
        <a:prstGeom prst="roundRect">
          <a:avLst/>
        </a:prstGeom>
        <a:solidFill>
          <a:schemeClr val="bg1"/>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394996</xdr:colOff>
      <xdr:row>5</xdr:row>
      <xdr:rowOff>123632</xdr:rowOff>
    </xdr:from>
    <xdr:to>
      <xdr:col>15</xdr:col>
      <xdr:colOff>354290</xdr:colOff>
      <xdr:row>10</xdr:row>
      <xdr:rowOff>117282</xdr:rowOff>
    </xdr:to>
    <xdr:sp macro="" textlink="">
      <xdr:nvSpPr>
        <xdr:cNvPr id="16" name="Rounded Rectangle 15"/>
        <xdr:cNvSpPr/>
      </xdr:nvSpPr>
      <xdr:spPr>
        <a:xfrm>
          <a:off x="6494338" y="1042711"/>
          <a:ext cx="3008965" cy="912729"/>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481624</xdr:colOff>
      <xdr:row>5</xdr:row>
      <xdr:rowOff>129279</xdr:rowOff>
    </xdr:from>
    <xdr:to>
      <xdr:col>20</xdr:col>
      <xdr:colOff>440919</xdr:colOff>
      <xdr:row>10</xdr:row>
      <xdr:rowOff>122929</xdr:rowOff>
    </xdr:to>
    <xdr:sp macro="" textlink="">
      <xdr:nvSpPr>
        <xdr:cNvPr id="17" name="Rounded Rectangle 16"/>
        <xdr:cNvSpPr/>
      </xdr:nvSpPr>
      <xdr:spPr>
        <a:xfrm>
          <a:off x="9640278" y="1065497"/>
          <a:ext cx="3012179" cy="929868"/>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80126</xdr:colOff>
      <xdr:row>5</xdr:row>
      <xdr:rowOff>105404</xdr:rowOff>
    </xdr:from>
    <xdr:to>
      <xdr:col>1</xdr:col>
      <xdr:colOff>340638</xdr:colOff>
      <xdr:row>10</xdr:row>
      <xdr:rowOff>99054</xdr:rowOff>
    </xdr:to>
    <xdr:sp macro="" textlink="">
      <xdr:nvSpPr>
        <xdr:cNvPr id="18" name="Rounded Rectangle 17"/>
        <xdr:cNvSpPr/>
      </xdr:nvSpPr>
      <xdr:spPr>
        <a:xfrm>
          <a:off x="80126" y="1024483"/>
          <a:ext cx="870446" cy="912729"/>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5</xdr:col>
      <xdr:colOff>206389</xdr:colOff>
      <xdr:row>5</xdr:row>
      <xdr:rowOff>143831</xdr:rowOff>
    </xdr:from>
    <xdr:to>
      <xdr:col>6</xdr:col>
      <xdr:colOff>466901</xdr:colOff>
      <xdr:row>10</xdr:row>
      <xdr:rowOff>137481</xdr:rowOff>
    </xdr:to>
    <xdr:sp macro="" textlink="">
      <xdr:nvSpPr>
        <xdr:cNvPr id="19" name="Rounded Rectangle 18"/>
        <xdr:cNvSpPr/>
      </xdr:nvSpPr>
      <xdr:spPr>
        <a:xfrm>
          <a:off x="3256060" y="1062910"/>
          <a:ext cx="870446" cy="912729"/>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369930</xdr:colOff>
      <xdr:row>5</xdr:row>
      <xdr:rowOff>115277</xdr:rowOff>
    </xdr:from>
    <xdr:to>
      <xdr:col>12</xdr:col>
      <xdr:colOff>19865</xdr:colOff>
      <xdr:row>10</xdr:row>
      <xdr:rowOff>108927</xdr:rowOff>
    </xdr:to>
    <xdr:sp macro="" textlink="">
      <xdr:nvSpPr>
        <xdr:cNvPr id="20" name="Rounded Rectangle 19"/>
        <xdr:cNvSpPr/>
      </xdr:nvSpPr>
      <xdr:spPr>
        <a:xfrm>
          <a:off x="6475699" y="1051495"/>
          <a:ext cx="871089" cy="929868"/>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463842</xdr:colOff>
      <xdr:row>5</xdr:row>
      <xdr:rowOff>120924</xdr:rowOff>
    </xdr:from>
    <xdr:to>
      <xdr:col>17</xdr:col>
      <xdr:colOff>113777</xdr:colOff>
      <xdr:row>10</xdr:row>
      <xdr:rowOff>114574</xdr:rowOff>
    </xdr:to>
    <xdr:sp macro="" textlink="">
      <xdr:nvSpPr>
        <xdr:cNvPr id="21" name="Rounded Rectangle 20"/>
        <xdr:cNvSpPr/>
      </xdr:nvSpPr>
      <xdr:spPr>
        <a:xfrm>
          <a:off x="9612855" y="1040003"/>
          <a:ext cx="869804" cy="912729"/>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11</xdr:row>
      <xdr:rowOff>116974</xdr:rowOff>
    </xdr:from>
    <xdr:to>
      <xdr:col>14</xdr:col>
      <xdr:colOff>116973</xdr:colOff>
      <xdr:row>29</xdr:row>
      <xdr:rowOff>100263</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219809</xdr:colOff>
      <xdr:row>0</xdr:row>
      <xdr:rowOff>65126</xdr:rowOff>
    </xdr:from>
    <xdr:ext cx="13551754" cy="837024"/>
    <xdr:sp macro="" textlink="">
      <xdr:nvSpPr>
        <xdr:cNvPr id="22" name="TextBox 21"/>
        <xdr:cNvSpPr txBox="1"/>
      </xdr:nvSpPr>
      <xdr:spPr>
        <a:xfrm>
          <a:off x="825043" y="65126"/>
          <a:ext cx="13551754" cy="83702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400">
              <a:solidFill>
                <a:srgbClr val="002060"/>
              </a:solidFill>
              <a:latin typeface="Algerian" panose="04020705040A02060702" pitchFamily="82" charset="0"/>
            </a:rPr>
            <a:t>SALES DASHBOARD</a:t>
          </a:r>
        </a:p>
      </xdr:txBody>
    </xdr:sp>
    <xdr:clientData/>
  </xdr:oneCellAnchor>
  <xdr:twoCellAnchor>
    <xdr:from>
      <xdr:col>14</xdr:col>
      <xdr:colOff>292434</xdr:colOff>
      <xdr:row>11</xdr:row>
      <xdr:rowOff>59532</xdr:rowOff>
    </xdr:from>
    <xdr:to>
      <xdr:col>24</xdr:col>
      <xdr:colOff>518026</xdr:colOff>
      <xdr:row>29</xdr:row>
      <xdr:rowOff>50133</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300789</xdr:colOff>
      <xdr:row>29</xdr:row>
      <xdr:rowOff>158750</xdr:rowOff>
    </xdr:from>
    <xdr:to>
      <xdr:col>24</xdr:col>
      <xdr:colOff>501315</xdr:colOff>
      <xdr:row>45</xdr:row>
      <xdr:rowOff>125328</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566656</xdr:colOff>
      <xdr:row>29</xdr:row>
      <xdr:rowOff>167105</xdr:rowOff>
    </xdr:from>
    <xdr:to>
      <xdr:col>14</xdr:col>
      <xdr:colOff>100263</xdr:colOff>
      <xdr:row>45</xdr:row>
      <xdr:rowOff>108618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220892</xdr:colOff>
      <xdr:row>28</xdr:row>
      <xdr:rowOff>179115</xdr:rowOff>
    </xdr:from>
    <xdr:to>
      <xdr:col>3</xdr:col>
      <xdr:colOff>438129</xdr:colOff>
      <xdr:row>44</xdr:row>
      <xdr:rowOff>99218</xdr:rowOff>
    </xdr:to>
    <mc:AlternateContent xmlns:mc="http://schemas.openxmlformats.org/markup-compatibility/2006" xmlns:a14="http://schemas.microsoft.com/office/drawing/2010/main">
      <mc:Choice Requires="a14">
        <xdr:graphicFrame macro="">
          <xdr:nvGraphicFramePr>
            <xdr:cNvPr id="27"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20892" y="5325957"/>
              <a:ext cx="2047040" cy="2861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200526</xdr:colOff>
      <xdr:row>11</xdr:row>
      <xdr:rowOff>125329</xdr:rowOff>
    </xdr:from>
    <xdr:to>
      <xdr:col>3</xdr:col>
      <xdr:colOff>409408</xdr:colOff>
      <xdr:row>28</xdr:row>
      <xdr:rowOff>33421</xdr:rowOff>
    </xdr:to>
    <mc:AlternateContent xmlns:mc="http://schemas.openxmlformats.org/markup-compatibility/2006" xmlns:a14="http://schemas.microsoft.com/office/drawing/2010/main">
      <mc:Choice Requires="a14">
        <xdr:graphicFrame macro="">
          <xdr:nvGraphicFramePr>
            <xdr:cNvPr id="28" name="Sales Person 1"/>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200526" y="2147303"/>
              <a:ext cx="2038685" cy="303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601579</xdr:colOff>
      <xdr:row>6</xdr:row>
      <xdr:rowOff>41777</xdr:rowOff>
    </xdr:from>
    <xdr:to>
      <xdr:col>4</xdr:col>
      <xdr:colOff>375987</xdr:colOff>
      <xdr:row>7</xdr:row>
      <xdr:rowOff>150395</xdr:rowOff>
    </xdr:to>
    <xdr:sp macro="" textlink="">
      <xdr:nvSpPr>
        <xdr:cNvPr id="4" name="TextBox 3"/>
        <xdr:cNvSpPr txBox="1"/>
      </xdr:nvSpPr>
      <xdr:spPr>
        <a:xfrm>
          <a:off x="1211513" y="1144672"/>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2060"/>
              </a:solidFill>
            </a:rPr>
            <a:t>Total Sales</a:t>
          </a:r>
        </a:p>
      </xdr:txBody>
    </xdr:sp>
    <xdr:clientData/>
  </xdr:twoCellAnchor>
  <xdr:twoCellAnchor>
    <xdr:from>
      <xdr:col>1</xdr:col>
      <xdr:colOff>603584</xdr:colOff>
      <xdr:row>8</xdr:row>
      <xdr:rowOff>43783</xdr:rowOff>
    </xdr:from>
    <xdr:to>
      <xdr:col>4</xdr:col>
      <xdr:colOff>377992</xdr:colOff>
      <xdr:row>9</xdr:row>
      <xdr:rowOff>152401</xdr:rowOff>
    </xdr:to>
    <xdr:sp macro="" textlink="Sheet1!L2">
      <xdr:nvSpPr>
        <xdr:cNvPr id="30" name="TextBox 29"/>
        <xdr:cNvSpPr txBox="1"/>
      </xdr:nvSpPr>
      <xdr:spPr>
        <a:xfrm>
          <a:off x="1213518" y="1514309"/>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4F26E7-03C3-44A4-9FD7-4205C2FC6035}" type="TxLink">
            <a:rPr lang="en-US" sz="1800" b="1" i="0" u="none" strike="noStrike">
              <a:solidFill>
                <a:srgbClr val="002060"/>
              </a:solidFill>
              <a:latin typeface="Calibri"/>
              <a:ea typeface="Calibri"/>
              <a:cs typeface="Calibri"/>
            </a:rPr>
            <a:pPr algn="ctr"/>
            <a:t>₹ 78,68,860.00</a:t>
          </a:fld>
          <a:endParaRPr lang="en-IN" sz="2400" b="1">
            <a:solidFill>
              <a:srgbClr val="002060"/>
            </a:solidFill>
          </a:endParaRPr>
        </a:p>
      </xdr:txBody>
    </xdr:sp>
    <xdr:clientData/>
  </xdr:twoCellAnchor>
  <xdr:twoCellAnchor>
    <xdr:from>
      <xdr:col>7</xdr:col>
      <xdr:colOff>53210</xdr:colOff>
      <xdr:row>6</xdr:row>
      <xdr:rowOff>9794</xdr:rowOff>
    </xdr:from>
    <xdr:to>
      <xdr:col>9</xdr:col>
      <xdr:colOff>437552</xdr:colOff>
      <xdr:row>7</xdr:row>
      <xdr:rowOff>118412</xdr:rowOff>
    </xdr:to>
    <xdr:sp macro="" textlink="">
      <xdr:nvSpPr>
        <xdr:cNvPr id="31" name="TextBox 30"/>
        <xdr:cNvSpPr txBox="1"/>
      </xdr:nvSpPr>
      <xdr:spPr>
        <a:xfrm>
          <a:off x="4322749" y="1112689"/>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2060"/>
              </a:solidFill>
            </a:rPr>
            <a:t>Unit</a:t>
          </a:r>
          <a:r>
            <a:rPr lang="en-IN" sz="2000" b="1" baseline="0">
              <a:solidFill>
                <a:srgbClr val="002060"/>
              </a:solidFill>
            </a:rPr>
            <a:t> Sold</a:t>
          </a:r>
          <a:endParaRPr lang="en-IN" sz="2000" b="1">
            <a:solidFill>
              <a:srgbClr val="002060"/>
            </a:solidFill>
          </a:endParaRPr>
        </a:p>
      </xdr:txBody>
    </xdr:sp>
    <xdr:clientData/>
  </xdr:twoCellAnchor>
  <xdr:twoCellAnchor>
    <xdr:from>
      <xdr:col>7</xdr:col>
      <xdr:colOff>63570</xdr:colOff>
      <xdr:row>7</xdr:row>
      <xdr:rowOff>178904</xdr:rowOff>
    </xdr:from>
    <xdr:to>
      <xdr:col>9</xdr:col>
      <xdr:colOff>447912</xdr:colOff>
      <xdr:row>9</xdr:row>
      <xdr:rowOff>103707</xdr:rowOff>
    </xdr:to>
    <xdr:sp macro="" textlink="Sheet1!L4">
      <xdr:nvSpPr>
        <xdr:cNvPr id="32" name="TextBox 31"/>
        <xdr:cNvSpPr txBox="1"/>
      </xdr:nvSpPr>
      <xdr:spPr>
        <a:xfrm>
          <a:off x="4333109" y="1465615"/>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463FD5-3494-4980-A4EB-1D09BC6460BC}" type="TxLink">
            <a:rPr lang="en-US" sz="1800" b="1" i="0" u="none" strike="noStrike">
              <a:solidFill>
                <a:srgbClr val="002060"/>
              </a:solidFill>
              <a:latin typeface="Calibri"/>
              <a:ea typeface="Calibri"/>
              <a:cs typeface="Calibri"/>
            </a:rPr>
            <a:pPr algn="ctr"/>
            <a:t>₹ 845.00</a:t>
          </a:fld>
          <a:endParaRPr lang="en-IN" sz="2400" b="1">
            <a:solidFill>
              <a:srgbClr val="002060"/>
            </a:solidFill>
          </a:endParaRPr>
        </a:p>
      </xdr:txBody>
    </xdr:sp>
    <xdr:clientData/>
  </xdr:twoCellAnchor>
  <xdr:twoCellAnchor>
    <xdr:from>
      <xdr:col>12</xdr:col>
      <xdr:colOff>159119</xdr:colOff>
      <xdr:row>6</xdr:row>
      <xdr:rowOff>32153</xdr:rowOff>
    </xdr:from>
    <xdr:to>
      <xdr:col>14</xdr:col>
      <xdr:colOff>543462</xdr:colOff>
      <xdr:row>7</xdr:row>
      <xdr:rowOff>140771</xdr:rowOff>
    </xdr:to>
    <xdr:sp macro="" textlink="">
      <xdr:nvSpPr>
        <xdr:cNvPr id="33" name="TextBox 32"/>
        <xdr:cNvSpPr txBox="1"/>
      </xdr:nvSpPr>
      <xdr:spPr>
        <a:xfrm>
          <a:off x="7478330" y="1135048"/>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2060"/>
              </a:solidFill>
            </a:rPr>
            <a:t>Profit</a:t>
          </a:r>
        </a:p>
      </xdr:txBody>
    </xdr:sp>
    <xdr:clientData/>
  </xdr:twoCellAnchor>
  <xdr:twoCellAnchor>
    <xdr:from>
      <xdr:col>12</xdr:col>
      <xdr:colOff>169479</xdr:colOff>
      <xdr:row>7</xdr:row>
      <xdr:rowOff>176199</xdr:rowOff>
    </xdr:from>
    <xdr:to>
      <xdr:col>14</xdr:col>
      <xdr:colOff>553822</xdr:colOff>
      <xdr:row>9</xdr:row>
      <xdr:rowOff>101002</xdr:rowOff>
    </xdr:to>
    <xdr:sp macro="" textlink="Sheet1!L6">
      <xdr:nvSpPr>
        <xdr:cNvPr id="34" name="TextBox 33"/>
        <xdr:cNvSpPr txBox="1"/>
      </xdr:nvSpPr>
      <xdr:spPr>
        <a:xfrm>
          <a:off x="7488690" y="1462910"/>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0778A7-FDD4-41AA-94E3-0292B8D6A732}" type="TxLink">
            <a:rPr lang="en-US" sz="1800" b="1" i="0" u="none" strike="noStrike">
              <a:solidFill>
                <a:srgbClr val="002060"/>
              </a:solidFill>
              <a:latin typeface="Calibri"/>
              <a:ea typeface="Calibri"/>
              <a:cs typeface="Calibri"/>
            </a:rPr>
            <a:pPr algn="ctr"/>
            <a:t>₹ 16,75,860.00</a:t>
          </a:fld>
          <a:endParaRPr lang="en-IN" sz="2400" b="1">
            <a:solidFill>
              <a:srgbClr val="002060"/>
            </a:solidFill>
          </a:endParaRPr>
        </a:p>
      </xdr:txBody>
    </xdr:sp>
    <xdr:clientData/>
  </xdr:twoCellAnchor>
  <xdr:twoCellAnchor>
    <xdr:from>
      <xdr:col>17</xdr:col>
      <xdr:colOff>307449</xdr:colOff>
      <xdr:row>6</xdr:row>
      <xdr:rowOff>37800</xdr:rowOff>
    </xdr:from>
    <xdr:to>
      <xdr:col>20</xdr:col>
      <xdr:colOff>81858</xdr:colOff>
      <xdr:row>7</xdr:row>
      <xdr:rowOff>146418</xdr:rowOff>
    </xdr:to>
    <xdr:sp macro="" textlink="">
      <xdr:nvSpPr>
        <xdr:cNvPr id="35" name="TextBox 34"/>
        <xdr:cNvSpPr txBox="1"/>
      </xdr:nvSpPr>
      <xdr:spPr>
        <a:xfrm>
          <a:off x="10676331" y="1140695"/>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2060"/>
              </a:solidFill>
            </a:rPr>
            <a:t>Average</a:t>
          </a:r>
          <a:r>
            <a:rPr lang="en-IN" sz="2000" b="1" baseline="0">
              <a:solidFill>
                <a:srgbClr val="002060"/>
              </a:solidFill>
            </a:rPr>
            <a:t> Sales</a:t>
          </a:r>
          <a:endParaRPr lang="en-IN" sz="2000" b="1">
            <a:solidFill>
              <a:srgbClr val="002060"/>
            </a:solidFill>
          </a:endParaRPr>
        </a:p>
      </xdr:txBody>
    </xdr:sp>
    <xdr:clientData/>
  </xdr:twoCellAnchor>
  <xdr:twoCellAnchor>
    <xdr:from>
      <xdr:col>17</xdr:col>
      <xdr:colOff>309454</xdr:colOff>
      <xdr:row>8</xdr:row>
      <xdr:rowOff>23096</xdr:rowOff>
    </xdr:from>
    <xdr:to>
      <xdr:col>20</xdr:col>
      <xdr:colOff>83863</xdr:colOff>
      <xdr:row>9</xdr:row>
      <xdr:rowOff>131714</xdr:rowOff>
    </xdr:to>
    <xdr:sp macro="" textlink="Sheet1!L8">
      <xdr:nvSpPr>
        <xdr:cNvPr id="36" name="TextBox 35"/>
        <xdr:cNvSpPr txBox="1"/>
      </xdr:nvSpPr>
      <xdr:spPr>
        <a:xfrm>
          <a:off x="10678336" y="1493622"/>
          <a:ext cx="1604211" cy="2924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FDF29B-D9E6-4C96-976F-4F490D0DBA22}" type="TxLink">
            <a:rPr lang="en-US" sz="1800" b="1" i="0" u="none" strike="noStrike">
              <a:solidFill>
                <a:srgbClr val="002060"/>
              </a:solidFill>
              <a:latin typeface="Calibri"/>
              <a:ea typeface="Calibri"/>
              <a:cs typeface="Calibri"/>
            </a:rPr>
            <a:pPr algn="ctr"/>
            <a:t>₹ 1,40,515</a:t>
          </a:fld>
          <a:endParaRPr lang="en-IN" sz="2400" b="1">
            <a:solidFill>
              <a:srgbClr val="002060"/>
            </a:solidFill>
          </a:endParaRPr>
        </a:p>
      </xdr:txBody>
    </xdr:sp>
    <xdr:clientData/>
  </xdr:twoCellAnchor>
  <xdr:twoCellAnchor editAs="oneCell">
    <xdr:from>
      <xdr:col>5</xdr:col>
      <xdr:colOff>350921</xdr:colOff>
      <xdr:row>6</xdr:row>
      <xdr:rowOff>66844</xdr:rowOff>
    </xdr:from>
    <xdr:to>
      <xdr:col>6</xdr:col>
      <xdr:colOff>342567</xdr:colOff>
      <xdr:row>9</xdr:row>
      <xdr:rowOff>115657</xdr:rowOff>
    </xdr:to>
    <xdr:pic>
      <xdr:nvPicPr>
        <xdr:cNvPr id="39" name="Picture 38" descr="Server storage "/>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00592" y="1169739"/>
          <a:ext cx="601580" cy="600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526752</xdr:colOff>
      <xdr:row>6</xdr:row>
      <xdr:rowOff>57218</xdr:rowOff>
    </xdr:from>
    <xdr:to>
      <xdr:col>11</xdr:col>
      <xdr:colOff>561442</xdr:colOff>
      <xdr:row>9</xdr:row>
      <xdr:rowOff>150395</xdr:rowOff>
    </xdr:to>
    <xdr:pic>
      <xdr:nvPicPr>
        <xdr:cNvPr id="9" name="Picture 8"/>
        <xdr:cNvPicPr>
          <a:picLocks noChangeAspect="1"/>
        </xdr:cNvPicPr>
      </xdr:nvPicPr>
      <xdr:blipFill>
        <a:blip xmlns:r="http://schemas.openxmlformats.org/officeDocument/2006/relationships" r:embed="rId6"/>
        <a:stretch>
          <a:fillRect/>
        </a:stretch>
      </xdr:blipFill>
      <xdr:spPr>
        <a:xfrm>
          <a:off x="6626094" y="1160113"/>
          <a:ext cx="644624" cy="644624"/>
        </a:xfrm>
        <a:prstGeom prst="rect">
          <a:avLst/>
        </a:prstGeom>
      </xdr:spPr>
    </xdr:pic>
    <xdr:clientData/>
  </xdr:twoCellAnchor>
  <xdr:twoCellAnchor editAs="oneCell">
    <xdr:from>
      <xdr:col>15</xdr:col>
      <xdr:colOff>505619</xdr:colOff>
      <xdr:row>6</xdr:row>
      <xdr:rowOff>20660</xdr:rowOff>
    </xdr:from>
    <xdr:to>
      <xdr:col>17</xdr:col>
      <xdr:colOff>58839</xdr:colOff>
      <xdr:row>10</xdr:row>
      <xdr:rowOff>58486</xdr:rowOff>
    </xdr:to>
    <xdr:pic>
      <xdr:nvPicPr>
        <xdr:cNvPr id="10" name="Picture 9"/>
        <xdr:cNvPicPr>
          <a:picLocks noChangeAspect="1"/>
        </xdr:cNvPicPr>
      </xdr:nvPicPr>
      <xdr:blipFill>
        <a:blip xmlns:r="http://schemas.openxmlformats.org/officeDocument/2006/relationships" r:embed="rId7"/>
        <a:stretch>
          <a:fillRect/>
        </a:stretch>
      </xdr:blipFill>
      <xdr:spPr>
        <a:xfrm>
          <a:off x="9654632" y="1123555"/>
          <a:ext cx="773089" cy="773089"/>
        </a:xfrm>
        <a:prstGeom prst="rect">
          <a:avLst/>
        </a:prstGeom>
      </xdr:spPr>
    </xdr:pic>
    <xdr:clientData/>
  </xdr:twoCellAnchor>
  <xdr:twoCellAnchor editAs="oneCell">
    <xdr:from>
      <xdr:col>0</xdr:col>
      <xdr:colOff>180389</xdr:colOff>
      <xdr:row>6</xdr:row>
      <xdr:rowOff>114188</xdr:rowOff>
    </xdr:from>
    <xdr:to>
      <xdr:col>1</xdr:col>
      <xdr:colOff>250658</xdr:colOff>
      <xdr:row>10</xdr:row>
      <xdr:rowOff>59128</xdr:rowOff>
    </xdr:to>
    <xdr:pic>
      <xdr:nvPicPr>
        <xdr:cNvPr id="11" name="Picture 10"/>
        <xdr:cNvPicPr>
          <a:picLocks noChangeAspect="1"/>
        </xdr:cNvPicPr>
      </xdr:nvPicPr>
      <xdr:blipFill>
        <a:blip xmlns:r="http://schemas.openxmlformats.org/officeDocument/2006/relationships" r:embed="rId8"/>
        <a:stretch>
          <a:fillRect/>
        </a:stretch>
      </xdr:blipFill>
      <xdr:spPr>
        <a:xfrm>
          <a:off x="180389" y="1217083"/>
          <a:ext cx="680203" cy="680203"/>
        </a:xfrm>
        <a:prstGeom prst="rect">
          <a:avLst/>
        </a:prstGeom>
      </xdr:spPr>
    </xdr:pic>
    <xdr:clientData/>
  </xdr:twoCellAnchor>
  <xdr:twoCellAnchor editAs="oneCell">
    <xdr:from>
      <xdr:col>16</xdr:col>
      <xdr:colOff>501318</xdr:colOff>
      <xdr:row>0</xdr:row>
      <xdr:rowOff>108620</xdr:rowOff>
    </xdr:from>
    <xdr:to>
      <xdr:col>17</xdr:col>
      <xdr:colOff>601581</xdr:colOff>
      <xdr:row>4</xdr:row>
      <xdr:rowOff>81998</xdr:rowOff>
    </xdr:to>
    <xdr:pic>
      <xdr:nvPicPr>
        <xdr:cNvPr id="45" name="Picture 44" descr="Trend "/>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260265" y="108620"/>
          <a:ext cx="710198" cy="708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528389</xdr:colOff>
      <xdr:row>0</xdr:row>
      <xdr:rowOff>127336</xdr:rowOff>
    </xdr:from>
    <xdr:to>
      <xdr:col>8</xdr:col>
      <xdr:colOff>18718</xdr:colOff>
      <xdr:row>4</xdr:row>
      <xdr:rowOff>100714</xdr:rowOff>
    </xdr:to>
    <xdr:pic>
      <xdr:nvPicPr>
        <xdr:cNvPr id="46" name="Picture 45" descr="Trend "/>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187994" y="127336"/>
          <a:ext cx="710198" cy="708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5</xdr:row>
      <xdr:rowOff>125330</xdr:rowOff>
    </xdr:from>
    <xdr:to>
      <xdr:col>24</xdr:col>
      <xdr:colOff>559802</xdr:colOff>
      <xdr:row>10</xdr:row>
      <xdr:rowOff>66843</xdr:rowOff>
    </xdr:to>
    <mc:AlternateContent xmlns:mc="http://schemas.openxmlformats.org/markup-compatibility/2006" xmlns:a14="http://schemas.microsoft.com/office/drawing/2010/main">
      <mc:Choice Requires="a14">
        <xdr:graphicFrame macro="">
          <xdr:nvGraphicFramePr>
            <xdr:cNvPr id="4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08618" y="1044409"/>
              <a:ext cx="2389605" cy="860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28.395407175929" createdVersion="6" refreshedVersion="6" minRefreshableVersion="3" recordCount="56">
  <cacheSource type="worksheet">
    <worksheetSource name="Table1"/>
  </cacheSource>
  <cacheFields count="9">
    <cacheField name="Date" numFmtId="14">
      <sharedItems containsSemiMixedTypes="0" containsNonDate="0" containsDate="1" containsString="0" minDate="2025-01-01T00:00:00" maxDate="2025-02-26T00:00:00"/>
    </cacheField>
    <cacheField name="Sales Person" numFmtId="0">
      <sharedItems count="10">
        <s v="Aarav"/>
        <s v="Diya"/>
        <s v="Rahul"/>
        <s v="Priya"/>
        <s v="Karthik"/>
        <s v="Sneha"/>
        <s v="Vikram"/>
        <s v="Ananya"/>
        <s v="Rohit"/>
        <s v="Meena"/>
      </sharedItems>
    </cacheField>
    <cacheField name="Region" numFmtId="0">
      <sharedItems count="4">
        <s v="North"/>
        <s v="South"/>
        <s v="East"/>
        <s v="West"/>
      </sharedItems>
    </cacheField>
    <cacheField name="Product" numFmtId="0">
      <sharedItems count="8">
        <s v="Laptop"/>
        <s v="Mobile"/>
        <s v="Tablet"/>
        <s v="Headphones"/>
        <s v="Monitor"/>
        <s v="Keyboard"/>
        <s v="Mouse"/>
        <s v="Printer"/>
      </sharedItems>
    </cacheField>
    <cacheField name="Units Sold" numFmtId="0">
      <sharedItems containsSemiMixedTypes="0" containsString="0" containsNumber="1" containsInteger="1" minValue="3" maxValue="50"/>
    </cacheField>
    <cacheField name="Unit Price" numFmtId="164">
      <sharedItems containsSemiMixedTypes="0" containsString="0" containsNumber="1" containsInteger="1" minValue="780" maxValue="62000"/>
    </cacheField>
    <cacheField name="Cost of Goods" numFmtId="164">
      <sharedItems containsSemiMixedTypes="0" containsString="0" containsNumber="1" containsInteger="1" minValue="15000" maxValue="380000"/>
    </cacheField>
    <cacheField name="Total Sales" numFmtId="164">
      <sharedItems containsSemiMixedTypes="0" containsString="0" containsNumber="1" containsInteger="1" minValue="20000" maxValue="427000" count="54">
        <n v="275000"/>
        <n v="200000"/>
        <n v="240000"/>
        <n v="45000"/>
        <n v="72000"/>
        <n v="30000"/>
        <n v="20000"/>
        <n v="180000"/>
        <n v="264000"/>
        <n v="196000"/>
        <n v="57600"/>
        <n v="65000"/>
        <n v="35200"/>
        <n v="25500"/>
        <n v="105000"/>
        <n v="232000"/>
        <n v="189000"/>
        <n v="177000"/>
        <n v="62000"/>
        <n v="87500"/>
        <n v="27900"/>
        <n v="22960"/>
        <n v="95000"/>
        <n v="336000"/>
        <n v="225500"/>
        <n v="279000"/>
        <n v="72500"/>
        <n v="56000"/>
        <n v="43500"/>
        <n v="27300"/>
        <n v="129500"/>
        <n v="295000"/>
        <n v="279500"/>
        <n v="256000"/>
        <n v="72600"/>
        <n v="81000"/>
        <n v="41250"/>
        <n v="36000"/>
        <n v="80000"/>
        <n v="427000"/>
        <n v="337500"/>
        <n v="300000"/>
        <n v="86800"/>
        <n v="120000"/>
        <n v="59500"/>
        <n v="42750"/>
        <n v="126000"/>
        <n v="248000"/>
        <n v="322000"/>
        <n v="283500"/>
        <n v="102000"/>
        <n v="49000"/>
        <n v="50000"/>
        <n v="156000"/>
      </sharedItems>
    </cacheField>
    <cacheField name="Profit" numFmtId="164">
      <sharedItems containsSemiMixedTypes="0" containsString="0" containsNumber="1" containsInteger="1" minValue="3900" maxValue="83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6">
  <r>
    <d v="2025-01-01T00:00:00"/>
    <x v="0"/>
    <x v="0"/>
    <x v="0"/>
    <n v="5"/>
    <n v="55000"/>
    <n v="220000"/>
    <x v="0"/>
    <n v="55000"/>
  </r>
  <r>
    <d v="2025-01-02T00:00:00"/>
    <x v="1"/>
    <x v="1"/>
    <x v="1"/>
    <n v="10"/>
    <n v="20000"/>
    <n v="150000"/>
    <x v="1"/>
    <n v="50000"/>
  </r>
  <r>
    <d v="2025-01-03T00:00:00"/>
    <x v="2"/>
    <x v="2"/>
    <x v="2"/>
    <n v="8"/>
    <n v="30000"/>
    <n v="180000"/>
    <x v="2"/>
    <n v="60000"/>
  </r>
  <r>
    <d v="2025-01-04T00:00:00"/>
    <x v="3"/>
    <x v="3"/>
    <x v="3"/>
    <n v="15"/>
    <n v="3000"/>
    <n v="30000"/>
    <x v="3"/>
    <n v="15000"/>
  </r>
  <r>
    <d v="2025-01-05T00:00:00"/>
    <x v="4"/>
    <x v="0"/>
    <x v="4"/>
    <n v="6"/>
    <n v="12000"/>
    <n v="54000"/>
    <x v="4"/>
    <n v="18000"/>
  </r>
  <r>
    <d v="2025-01-06T00:00:00"/>
    <x v="5"/>
    <x v="1"/>
    <x v="5"/>
    <n v="20"/>
    <n v="1500"/>
    <n v="20000"/>
    <x v="5"/>
    <n v="10000"/>
  </r>
  <r>
    <d v="2025-01-07T00:00:00"/>
    <x v="6"/>
    <x v="2"/>
    <x v="6"/>
    <n v="25"/>
    <n v="800"/>
    <n v="15000"/>
    <x v="6"/>
    <n v="5000"/>
  </r>
  <r>
    <d v="2025-01-08T00:00:00"/>
    <x v="7"/>
    <x v="3"/>
    <x v="7"/>
    <n v="4"/>
    <n v="18000"/>
    <n v="60000"/>
    <x v="4"/>
    <n v="12000"/>
  </r>
  <r>
    <d v="2025-01-09T00:00:00"/>
    <x v="8"/>
    <x v="0"/>
    <x v="0"/>
    <n v="3"/>
    <n v="60000"/>
    <n v="150000"/>
    <x v="7"/>
    <n v="30000"/>
  </r>
  <r>
    <d v="2025-01-10T00:00:00"/>
    <x v="9"/>
    <x v="1"/>
    <x v="1"/>
    <n v="12"/>
    <n v="22000"/>
    <n v="200000"/>
    <x v="8"/>
    <n v="64000"/>
  </r>
  <r>
    <d v="2025-01-11T00:00:00"/>
    <x v="0"/>
    <x v="2"/>
    <x v="2"/>
    <n v="7"/>
    <n v="28000"/>
    <n v="150000"/>
    <x v="9"/>
    <n v="46000"/>
  </r>
  <r>
    <d v="2025-01-12T00:00:00"/>
    <x v="1"/>
    <x v="3"/>
    <x v="3"/>
    <n v="18"/>
    <n v="3200"/>
    <n v="36000"/>
    <x v="10"/>
    <n v="21600"/>
  </r>
  <r>
    <d v="2025-01-13T00:00:00"/>
    <x v="2"/>
    <x v="0"/>
    <x v="4"/>
    <n v="5"/>
    <n v="13000"/>
    <n v="52000"/>
    <x v="11"/>
    <n v="13000"/>
  </r>
  <r>
    <d v="2025-01-14T00:00:00"/>
    <x v="3"/>
    <x v="1"/>
    <x v="5"/>
    <n v="22"/>
    <n v="1600"/>
    <n v="25000"/>
    <x v="12"/>
    <n v="10200"/>
  </r>
  <r>
    <d v="2025-01-15T00:00:00"/>
    <x v="4"/>
    <x v="2"/>
    <x v="6"/>
    <n v="30"/>
    <n v="850"/>
    <n v="18000"/>
    <x v="13"/>
    <n v="7500"/>
  </r>
  <r>
    <d v="2025-01-16T00:00:00"/>
    <x v="5"/>
    <x v="3"/>
    <x v="7"/>
    <n v="6"/>
    <n v="17500"/>
    <n v="90000"/>
    <x v="14"/>
    <n v="15000"/>
  </r>
  <r>
    <d v="2025-01-17T00:00:00"/>
    <x v="6"/>
    <x v="0"/>
    <x v="0"/>
    <n v="4"/>
    <n v="58000"/>
    <n v="190000"/>
    <x v="15"/>
    <n v="42000"/>
  </r>
  <r>
    <d v="2025-01-18T00:00:00"/>
    <x v="7"/>
    <x v="1"/>
    <x v="1"/>
    <n v="9"/>
    <n v="21000"/>
    <n v="160000"/>
    <x v="16"/>
    <n v="29000"/>
  </r>
  <r>
    <d v="2025-01-19T00:00:00"/>
    <x v="8"/>
    <x v="2"/>
    <x v="2"/>
    <n v="6"/>
    <n v="29500"/>
    <n v="140000"/>
    <x v="17"/>
    <n v="37000"/>
  </r>
  <r>
    <d v="2025-01-20T00:00:00"/>
    <x v="9"/>
    <x v="3"/>
    <x v="3"/>
    <n v="20"/>
    <n v="3100"/>
    <n v="42000"/>
    <x v="18"/>
    <n v="20000"/>
  </r>
  <r>
    <d v="2025-01-21T00:00:00"/>
    <x v="0"/>
    <x v="0"/>
    <x v="4"/>
    <n v="7"/>
    <n v="12500"/>
    <n v="70000"/>
    <x v="19"/>
    <n v="17500"/>
  </r>
  <r>
    <d v="2025-01-22T00:00:00"/>
    <x v="1"/>
    <x v="1"/>
    <x v="5"/>
    <n v="18"/>
    <n v="1550"/>
    <n v="24000"/>
    <x v="20"/>
    <n v="3900"/>
  </r>
  <r>
    <d v="2025-01-23T00:00:00"/>
    <x v="2"/>
    <x v="2"/>
    <x v="6"/>
    <n v="28"/>
    <n v="820"/>
    <n v="17000"/>
    <x v="21"/>
    <n v="5960"/>
  </r>
  <r>
    <d v="2025-01-24T00:00:00"/>
    <x v="3"/>
    <x v="3"/>
    <x v="7"/>
    <n v="5"/>
    <n v="19000"/>
    <n v="80000"/>
    <x v="22"/>
    <n v="15000"/>
  </r>
  <r>
    <d v="2025-01-25T00:00:00"/>
    <x v="4"/>
    <x v="0"/>
    <x v="0"/>
    <n v="6"/>
    <n v="56000"/>
    <n v="300000"/>
    <x v="23"/>
    <n v="36000"/>
  </r>
  <r>
    <d v="2025-01-26T00:00:00"/>
    <x v="5"/>
    <x v="1"/>
    <x v="1"/>
    <n v="11"/>
    <n v="20500"/>
    <n v="180000"/>
    <x v="24"/>
    <n v="45500"/>
  </r>
  <r>
    <d v="2025-01-27T00:00:00"/>
    <x v="6"/>
    <x v="2"/>
    <x v="2"/>
    <n v="9"/>
    <n v="31000"/>
    <n v="200000"/>
    <x v="25"/>
    <n v="79000"/>
  </r>
  <r>
    <d v="2025-01-28T00:00:00"/>
    <x v="7"/>
    <x v="3"/>
    <x v="3"/>
    <n v="25"/>
    <n v="2900"/>
    <n v="50000"/>
    <x v="26"/>
    <n v="22500"/>
  </r>
  <r>
    <d v="2025-01-29T00:00:00"/>
    <x v="8"/>
    <x v="0"/>
    <x v="4"/>
    <n v="4"/>
    <n v="14000"/>
    <n v="45000"/>
    <x v="27"/>
    <n v="11000"/>
  </r>
  <r>
    <d v="2025-01-30T00:00:00"/>
    <x v="9"/>
    <x v="1"/>
    <x v="5"/>
    <n v="30"/>
    <n v="1450"/>
    <n v="35000"/>
    <x v="28"/>
    <n v="8500"/>
  </r>
  <r>
    <d v="2025-01-31T00:00:00"/>
    <x v="0"/>
    <x v="2"/>
    <x v="6"/>
    <n v="35"/>
    <n v="780"/>
    <n v="20000"/>
    <x v="29"/>
    <n v="7300"/>
  </r>
  <r>
    <d v="2025-02-01T00:00:00"/>
    <x v="1"/>
    <x v="3"/>
    <x v="7"/>
    <n v="7"/>
    <n v="18500"/>
    <n v="110000"/>
    <x v="30"/>
    <n v="19500"/>
  </r>
  <r>
    <d v="2025-02-02T00:00:00"/>
    <x v="2"/>
    <x v="0"/>
    <x v="0"/>
    <n v="5"/>
    <n v="59000"/>
    <n v="250000"/>
    <x v="31"/>
    <n v="45000"/>
  </r>
  <r>
    <d v="2025-02-03T00:00:00"/>
    <x v="3"/>
    <x v="1"/>
    <x v="1"/>
    <n v="13"/>
    <n v="21500"/>
    <n v="210000"/>
    <x v="32"/>
    <n v="69500"/>
  </r>
  <r>
    <d v="2025-02-04T00:00:00"/>
    <x v="4"/>
    <x v="2"/>
    <x v="2"/>
    <n v="8"/>
    <n v="32000"/>
    <n v="210000"/>
    <x v="33"/>
    <n v="46000"/>
  </r>
  <r>
    <d v="2025-02-05T00:00:00"/>
    <x v="5"/>
    <x v="3"/>
    <x v="3"/>
    <n v="22"/>
    <n v="3300"/>
    <n v="48000"/>
    <x v="34"/>
    <n v="24600"/>
  </r>
  <r>
    <d v="2025-02-06T00:00:00"/>
    <x v="6"/>
    <x v="0"/>
    <x v="4"/>
    <n v="6"/>
    <n v="13500"/>
    <n v="65000"/>
    <x v="35"/>
    <n v="16000"/>
  </r>
  <r>
    <d v="2025-02-07T00:00:00"/>
    <x v="7"/>
    <x v="1"/>
    <x v="5"/>
    <n v="25"/>
    <n v="1650"/>
    <n v="30000"/>
    <x v="36"/>
    <n v="11250"/>
  </r>
  <r>
    <d v="2025-02-08T00:00:00"/>
    <x v="8"/>
    <x v="2"/>
    <x v="6"/>
    <n v="40"/>
    <n v="900"/>
    <n v="25000"/>
    <x v="37"/>
    <n v="11000"/>
  </r>
  <r>
    <d v="2025-02-09T00:00:00"/>
    <x v="9"/>
    <x v="3"/>
    <x v="7"/>
    <n v="4"/>
    <n v="20000"/>
    <n v="70000"/>
    <x v="38"/>
    <n v="10000"/>
  </r>
  <r>
    <d v="2025-02-10T00:00:00"/>
    <x v="0"/>
    <x v="0"/>
    <x v="0"/>
    <n v="7"/>
    <n v="61000"/>
    <n v="380000"/>
    <x v="39"/>
    <n v="47000"/>
  </r>
  <r>
    <d v="2025-02-11T00:00:00"/>
    <x v="1"/>
    <x v="1"/>
    <x v="1"/>
    <n v="15"/>
    <n v="22500"/>
    <n v="260000"/>
    <x v="40"/>
    <n v="77500"/>
  </r>
  <r>
    <d v="2025-02-12T00:00:00"/>
    <x v="2"/>
    <x v="2"/>
    <x v="2"/>
    <n v="10"/>
    <n v="30000"/>
    <n v="220000"/>
    <x v="41"/>
    <n v="80000"/>
  </r>
  <r>
    <d v="2025-02-13T00:00:00"/>
    <x v="3"/>
    <x v="3"/>
    <x v="3"/>
    <n v="28"/>
    <n v="3100"/>
    <n v="55000"/>
    <x v="42"/>
    <n v="31800"/>
  </r>
  <r>
    <d v="2025-02-14T00:00:00"/>
    <x v="4"/>
    <x v="0"/>
    <x v="4"/>
    <n v="8"/>
    <n v="15000"/>
    <n v="90000"/>
    <x v="43"/>
    <n v="30000"/>
  </r>
  <r>
    <d v="2025-02-15T00:00:00"/>
    <x v="5"/>
    <x v="1"/>
    <x v="5"/>
    <n v="35"/>
    <n v="1700"/>
    <n v="40000"/>
    <x v="44"/>
    <n v="19500"/>
  </r>
  <r>
    <d v="2025-02-16T00:00:00"/>
    <x v="6"/>
    <x v="2"/>
    <x v="6"/>
    <n v="45"/>
    <n v="950"/>
    <n v="30000"/>
    <x v="45"/>
    <n v="12750"/>
  </r>
  <r>
    <d v="2025-02-17T00:00:00"/>
    <x v="7"/>
    <x v="3"/>
    <x v="7"/>
    <n v="6"/>
    <n v="21000"/>
    <n v="105000"/>
    <x v="46"/>
    <n v="21000"/>
  </r>
  <r>
    <d v="2025-02-18T00:00:00"/>
    <x v="8"/>
    <x v="0"/>
    <x v="0"/>
    <n v="4"/>
    <n v="62000"/>
    <n v="210000"/>
    <x v="47"/>
    <n v="38000"/>
  </r>
  <r>
    <d v="2025-02-19T00:00:00"/>
    <x v="9"/>
    <x v="1"/>
    <x v="1"/>
    <n v="14"/>
    <n v="23000"/>
    <n v="250000"/>
    <x v="48"/>
    <n v="72000"/>
  </r>
  <r>
    <d v="2025-02-20T00:00:00"/>
    <x v="0"/>
    <x v="2"/>
    <x v="2"/>
    <n v="9"/>
    <n v="31500"/>
    <n v="200000"/>
    <x v="49"/>
    <n v="83500"/>
  </r>
  <r>
    <d v="2025-02-21T00:00:00"/>
    <x v="1"/>
    <x v="3"/>
    <x v="3"/>
    <n v="30"/>
    <n v="3400"/>
    <n v="60000"/>
    <x v="50"/>
    <n v="42000"/>
  </r>
  <r>
    <d v="2025-02-22T00:00:00"/>
    <x v="2"/>
    <x v="0"/>
    <x v="4"/>
    <n v="5"/>
    <n v="14500"/>
    <n v="65000"/>
    <x v="26"/>
    <n v="7500"/>
  </r>
  <r>
    <d v="2025-02-23T00:00:00"/>
    <x v="3"/>
    <x v="1"/>
    <x v="5"/>
    <n v="28"/>
    <n v="1750"/>
    <n v="42000"/>
    <x v="51"/>
    <n v="7000"/>
  </r>
  <r>
    <d v="2025-02-24T00:00:00"/>
    <x v="4"/>
    <x v="2"/>
    <x v="6"/>
    <n v="50"/>
    <n v="1000"/>
    <n v="35000"/>
    <x v="52"/>
    <n v="15000"/>
  </r>
  <r>
    <d v="2025-02-25T00:00:00"/>
    <x v="5"/>
    <x v="3"/>
    <x v="7"/>
    <n v="8"/>
    <n v="19500"/>
    <n v="130000"/>
    <x v="53"/>
    <n v="2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9">
    <pivotField numFmtId="14" showAll="0"/>
    <pivotField showAll="0">
      <items count="11">
        <item x="0"/>
        <item x="7"/>
        <item x="1"/>
        <item x="4"/>
        <item x="9"/>
        <item x="3"/>
        <item x="2"/>
        <item x="8"/>
        <item x="5"/>
        <item x="6"/>
        <item t="default"/>
      </items>
    </pivotField>
    <pivotField axis="axisRow" showAll="0">
      <items count="5">
        <item x="2"/>
        <item x="0"/>
        <item x="1"/>
        <item x="3"/>
        <item t="default"/>
      </items>
    </pivotField>
    <pivotField showAll="0">
      <items count="9">
        <item x="3"/>
        <item x="5"/>
        <item x="0"/>
        <item x="1"/>
        <item x="4"/>
        <item x="6"/>
        <item x="7"/>
        <item x="2"/>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6"/>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5" format="32"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5" format="33">
      <pivotArea type="data" outline="0" fieldPosition="0">
        <references count="2">
          <reference field="4294967294" count="1" selected="0">
            <x v="0"/>
          </reference>
          <reference field="2" count="1" selected="0">
            <x v="0"/>
          </reference>
        </references>
      </pivotArea>
    </chartFormat>
    <chartFormat chart="5" format="34">
      <pivotArea type="data" outline="0" fieldPosition="0">
        <references count="2">
          <reference field="4294967294" count="1" selected="0">
            <x v="0"/>
          </reference>
          <reference field="2" count="1" selected="0">
            <x v="1"/>
          </reference>
        </references>
      </pivotArea>
    </chartFormat>
    <chartFormat chart="5" format="35">
      <pivotArea type="data" outline="0" fieldPosition="0">
        <references count="2">
          <reference field="4294967294" count="1" selected="0">
            <x v="0"/>
          </reference>
          <reference field="2" count="1" selected="0">
            <x v="2"/>
          </reference>
        </references>
      </pivotArea>
    </chartFormat>
    <chartFormat chart="5" format="3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K3:L12" firstHeaderRow="1" firstDataRow="1" firstDataCol="1"/>
  <pivotFields count="9">
    <pivotField numFmtId="14" showAll="0"/>
    <pivotField showAll="0">
      <items count="11">
        <item x="0"/>
        <item x="7"/>
        <item x="1"/>
        <item x="4"/>
        <item x="9"/>
        <item x="3"/>
        <item x="2"/>
        <item x="8"/>
        <item x="5"/>
        <item x="6"/>
        <item t="default"/>
      </items>
    </pivotField>
    <pivotField showAll="0">
      <items count="5">
        <item x="2"/>
        <item x="0"/>
        <item x="1"/>
        <item x="3"/>
        <item t="default"/>
      </items>
    </pivotField>
    <pivotField axis="axisRow" showAll="0">
      <items count="9">
        <item x="3"/>
        <item x="5"/>
        <item x="0"/>
        <item x="1"/>
        <item x="4"/>
        <item x="6"/>
        <item x="7"/>
        <item x="2"/>
        <item t="default"/>
      </items>
    </pivotField>
    <pivotField dataField="1" showAll="0"/>
    <pivotField numFmtId="164" showAll="0"/>
    <pivotField numFmtId="164" showAll="0"/>
    <pivotField numFmtId="164" showAll="0"/>
    <pivotField numFmtId="164" showAll="0"/>
  </pivotFields>
  <rowFields count="1">
    <field x="3"/>
  </rowFields>
  <rowItems count="9">
    <i>
      <x/>
    </i>
    <i>
      <x v="1"/>
    </i>
    <i>
      <x v="2"/>
    </i>
    <i>
      <x v="3"/>
    </i>
    <i>
      <x v="4"/>
    </i>
    <i>
      <x v="5"/>
    </i>
    <i>
      <x v="6"/>
    </i>
    <i>
      <x v="7"/>
    </i>
    <i t="grand">
      <x/>
    </i>
  </rowItems>
  <colItems count="1">
    <i/>
  </colItems>
  <dataFields count="1">
    <dataField name="Sum of Units Sold" fld="4" baseField="0" baseItem="0"/>
  </dataFields>
  <chartFormats count="2">
    <chartFormat chart="18"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I14" firstHeaderRow="1" firstDataRow="1" firstDataCol="1"/>
  <pivotFields count="9">
    <pivotField numFmtId="14" showAll="0"/>
    <pivotField axis="axisRow" showAll="0">
      <items count="11">
        <item x="0"/>
        <item x="7"/>
        <item x="1"/>
        <item x="4"/>
        <item x="9"/>
        <item x="3"/>
        <item x="2"/>
        <item x="8"/>
        <item x="5"/>
        <item x="6"/>
        <item t="default"/>
      </items>
    </pivotField>
    <pivotField showAll="0">
      <items count="5">
        <item x="2"/>
        <item x="0"/>
        <item x="1"/>
        <item x="3"/>
        <item t="default"/>
      </items>
    </pivotField>
    <pivotField showAll="0">
      <items count="9">
        <item x="3"/>
        <item x="5"/>
        <item x="0"/>
        <item x="1"/>
        <item x="4"/>
        <item x="6"/>
        <item x="7"/>
        <item x="2"/>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6"/>
  </dataFields>
  <formats count="2">
    <format dxfId="21">
      <pivotArea outline="0" collapsedLevelsAreSubtotals="1" fieldPosition="0"/>
    </format>
    <format dxfId="20">
      <pivotArea outline="0" fieldPosition="0">
        <references count="1">
          <reference field="4294967294" count="1">
            <x v="0"/>
          </reference>
        </references>
      </pivotArea>
    </format>
  </formats>
  <chartFormats count="2">
    <chartFormat chart="1"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3:E12" firstHeaderRow="1" firstDataRow="1" firstDataCol="1"/>
  <pivotFields count="9">
    <pivotField numFmtId="14" showAll="0"/>
    <pivotField showAll="0">
      <items count="11">
        <item x="0"/>
        <item x="7"/>
        <item x="1"/>
        <item x="4"/>
        <item x="9"/>
        <item x="3"/>
        <item x="2"/>
        <item x="8"/>
        <item x="5"/>
        <item x="6"/>
        <item t="default"/>
      </items>
    </pivotField>
    <pivotField showAll="0">
      <items count="5">
        <item x="2"/>
        <item x="0"/>
        <item x="1"/>
        <item x="3"/>
        <item t="default"/>
      </items>
    </pivotField>
    <pivotField axis="axisRow" showAll="0">
      <items count="9">
        <item x="3"/>
        <item x="5"/>
        <item x="0"/>
        <item x="1"/>
        <item x="4"/>
        <item x="6"/>
        <item x="7"/>
        <item x="2"/>
        <item t="default"/>
      </items>
    </pivotField>
    <pivotField showAll="0"/>
    <pivotField numFmtId="164" showAll="0"/>
    <pivotField numFmtId="164" showAll="0"/>
    <pivotField dataField="1" numFmtId="164" showAll="0"/>
    <pivotField numFmtId="164" showAll="0"/>
  </pivotFields>
  <rowFields count="1">
    <field x="3"/>
  </rowFields>
  <rowItems count="9">
    <i>
      <x/>
    </i>
    <i>
      <x v="1"/>
    </i>
    <i>
      <x v="2"/>
    </i>
    <i>
      <x v="3"/>
    </i>
    <i>
      <x v="4"/>
    </i>
    <i>
      <x v="5"/>
    </i>
    <i>
      <x v="6"/>
    </i>
    <i>
      <x v="7"/>
    </i>
    <i t="grand">
      <x/>
    </i>
  </rowItems>
  <colItems count="1">
    <i/>
  </colItems>
  <dataFields count="1">
    <dataField name="Sum of Total Sales" fld="7" baseField="3" baseItem="0" numFmtId="166"/>
  </dataFields>
  <formats count="2">
    <format dxfId="23">
      <pivotArea outline="0" collapsedLevelsAreSubtotals="1" fieldPosition="0"/>
    </format>
    <format dxfId="22">
      <pivotArea outline="0" fieldPosition="0">
        <references count="1">
          <reference field="4294967294"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3" name="PivotTable1"/>
    <pivotTable tabId="3" name="PivotTable2"/>
    <pivotTable tabId="3" name="PivotTable3"/>
    <pivotTable tabId="3" name="PivotTable4"/>
  </pivotTables>
  <data>
    <tabular pivotCacheId="1">
      <items count="10">
        <i x="0" s="1"/>
        <i x="7" s="1"/>
        <i x="1" s="1"/>
        <i x="4" s="1"/>
        <i x="9" s="1"/>
        <i x="3" s="1"/>
        <i x="2" s="1"/>
        <i x="8"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 tabId="3" name="PivotTable2"/>
    <pivotTable tabId="3" name="PivotTable3"/>
    <pivotTable tabId="3" name="PivotTable4"/>
  </pivotTables>
  <data>
    <tabular pivotCacheId="1">
      <items count="8">
        <i x="3" s="1"/>
        <i x="5" s="1"/>
        <i x="0" s="1"/>
        <i x="1" s="1"/>
        <i x="4" s="1"/>
        <i x="6"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startItem="3" rowHeight="241300"/>
  <slicer name="Region" cache="Slicer_Region" caption="Region" columnCount="2" rowHeight="241300"/>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Person 1" cache="Slicer_Sales_Person" caption="Sales Person" startItem="1" rowHeight="241300"/>
  <slicer name="Region 1" cache="Slicer_Region" caption="Region" columnCount="2" rowHeight="241300"/>
  <slicer name="Product 1" cache="Slicer_Product" caption="Product" rowHeight="241300"/>
</slicers>
</file>

<file path=xl/tables/table1.xml><?xml version="1.0" encoding="utf-8"?>
<table xmlns="http://schemas.openxmlformats.org/spreadsheetml/2006/main" id="1" name="Table1" displayName="Table1" ref="A1:I57" totalsRowShown="0" headerRowDxfId="17">
  <autoFilter ref="A1:I57"/>
  <tableColumns count="9">
    <tableColumn id="1" name="Date" dataDxfId="16"/>
    <tableColumn id="2" name="Sales Person"/>
    <tableColumn id="3" name="Region"/>
    <tableColumn id="4" name="Product"/>
    <tableColumn id="5" name="Units Sold"/>
    <tableColumn id="6" name="Unit Price" dataDxfId="15"/>
    <tableColumn id="7" name="Cost of Goods" dataDxfId="14"/>
    <tableColumn id="8" name="Total Sales" dataDxfId="13"/>
    <tableColumn id="9" name="Profit"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4"/>
  <sheetViews>
    <sheetView workbookViewId="0">
      <selection activeCell="G12" sqref="G12"/>
    </sheetView>
  </sheetViews>
  <sheetFormatPr defaultRowHeight="14.5" x14ac:dyDescent="0.35"/>
  <cols>
    <col min="1" max="1" width="12.36328125" bestFit="1" customWidth="1"/>
    <col min="2" max="2" width="16.08984375" bestFit="1" customWidth="1"/>
    <col min="4" max="4" width="12.36328125" customWidth="1"/>
    <col min="5" max="5" width="16.08984375" bestFit="1" customWidth="1"/>
    <col min="8" max="8" width="12.36328125" customWidth="1"/>
    <col min="9" max="9" width="16.08984375" bestFit="1" customWidth="1"/>
    <col min="11" max="11" width="12.36328125" customWidth="1"/>
    <col min="12" max="12" width="15.54296875" bestFit="1" customWidth="1"/>
  </cols>
  <sheetData>
    <row r="3" spans="1:12" x14ac:dyDescent="0.35">
      <c r="A3" s="6" t="s">
        <v>34</v>
      </c>
      <c r="B3" t="s">
        <v>35</v>
      </c>
      <c r="D3" s="6" t="s">
        <v>34</v>
      </c>
      <c r="E3" t="s">
        <v>35</v>
      </c>
      <c r="H3" s="6" t="s">
        <v>34</v>
      </c>
      <c r="I3" t="s">
        <v>35</v>
      </c>
      <c r="K3" s="6" t="s">
        <v>34</v>
      </c>
      <c r="L3" t="s">
        <v>36</v>
      </c>
    </row>
    <row r="4" spans="1:12" x14ac:dyDescent="0.35">
      <c r="A4" s="7" t="s">
        <v>16</v>
      </c>
      <c r="B4" s="8">
        <v>1956010</v>
      </c>
      <c r="D4" s="7" t="s">
        <v>20</v>
      </c>
      <c r="E4" s="8">
        <v>498500</v>
      </c>
      <c r="H4" s="7" t="s">
        <v>9</v>
      </c>
      <c r="I4" s="8">
        <v>1296300</v>
      </c>
      <c r="K4" s="7" t="s">
        <v>20</v>
      </c>
      <c r="L4" s="9">
        <v>158</v>
      </c>
    </row>
    <row r="5" spans="1:12" x14ac:dyDescent="0.35">
      <c r="A5" s="7" t="s">
        <v>10</v>
      </c>
      <c r="B5" s="8">
        <v>2547000</v>
      </c>
      <c r="D5" s="7" t="s">
        <v>24</v>
      </c>
      <c r="E5" s="8">
        <v>286350</v>
      </c>
      <c r="H5" s="7" t="s">
        <v>27</v>
      </c>
      <c r="I5" s="8">
        <v>500750</v>
      </c>
      <c r="K5" s="7" t="s">
        <v>24</v>
      </c>
      <c r="L5" s="9">
        <v>178</v>
      </c>
    </row>
    <row r="6" spans="1:12" x14ac:dyDescent="0.35">
      <c r="A6" s="7" t="s">
        <v>13</v>
      </c>
      <c r="B6" s="8">
        <v>2103850</v>
      </c>
      <c r="D6" s="7" t="s">
        <v>11</v>
      </c>
      <c r="E6" s="8">
        <v>1993000</v>
      </c>
      <c r="H6" s="7" t="s">
        <v>12</v>
      </c>
      <c r="I6" s="8">
        <v>854500</v>
      </c>
      <c r="K6" s="7" t="s">
        <v>11</v>
      </c>
      <c r="L6" s="9">
        <v>34</v>
      </c>
    </row>
    <row r="7" spans="1:12" x14ac:dyDescent="0.35">
      <c r="A7" s="7" t="s">
        <v>19</v>
      </c>
      <c r="B7" s="8">
        <v>1262000</v>
      </c>
      <c r="D7" s="7" t="s">
        <v>14</v>
      </c>
      <c r="E7" s="8">
        <v>1817500</v>
      </c>
      <c r="H7" s="7" t="s">
        <v>21</v>
      </c>
      <c r="I7" s="8">
        <v>859500</v>
      </c>
      <c r="K7" s="7" t="s">
        <v>14</v>
      </c>
      <c r="L7" s="9">
        <v>84</v>
      </c>
    </row>
    <row r="8" spans="1:12" x14ac:dyDescent="0.35">
      <c r="A8" s="7" t="s">
        <v>31</v>
      </c>
      <c r="B8" s="8">
        <v>7868860</v>
      </c>
      <c r="D8" s="7" t="s">
        <v>22</v>
      </c>
      <c r="E8" s="8">
        <v>554000</v>
      </c>
      <c r="H8" s="7" t="s">
        <v>30</v>
      </c>
      <c r="I8" s="8">
        <v>771500</v>
      </c>
      <c r="K8" s="7" t="s">
        <v>22</v>
      </c>
      <c r="L8" s="9">
        <v>41</v>
      </c>
    </row>
    <row r="9" spans="1:12" x14ac:dyDescent="0.35">
      <c r="D9" s="7" t="s">
        <v>26</v>
      </c>
      <c r="E9" s="8">
        <v>224510</v>
      </c>
      <c r="H9" s="7" t="s">
        <v>18</v>
      </c>
      <c r="I9" s="8">
        <v>590500</v>
      </c>
      <c r="K9" s="7" t="s">
        <v>26</v>
      </c>
      <c r="L9" s="9">
        <v>253</v>
      </c>
    </row>
    <row r="10" spans="1:12" x14ac:dyDescent="0.35">
      <c r="D10" s="7" t="s">
        <v>28</v>
      </c>
      <c r="E10" s="8">
        <v>763500</v>
      </c>
      <c r="H10" s="7" t="s">
        <v>15</v>
      </c>
      <c r="I10" s="8">
        <v>995460</v>
      </c>
      <c r="K10" s="7" t="s">
        <v>28</v>
      </c>
      <c r="L10" s="9">
        <v>40</v>
      </c>
    </row>
    <row r="11" spans="1:12" x14ac:dyDescent="0.35">
      <c r="D11" s="7" t="s">
        <v>17</v>
      </c>
      <c r="E11" s="8">
        <v>1731500</v>
      </c>
      <c r="H11" s="7" t="s">
        <v>29</v>
      </c>
      <c r="I11" s="8">
        <v>697000</v>
      </c>
      <c r="K11" s="7" t="s">
        <v>17</v>
      </c>
      <c r="L11" s="9">
        <v>57</v>
      </c>
    </row>
    <row r="12" spans="1:12" x14ac:dyDescent="0.35">
      <c r="D12" s="7" t="s">
        <v>31</v>
      </c>
      <c r="E12" s="8">
        <v>7868860</v>
      </c>
      <c r="H12" s="7" t="s">
        <v>23</v>
      </c>
      <c r="I12" s="8">
        <v>648600</v>
      </c>
      <c r="K12" s="7" t="s">
        <v>31</v>
      </c>
      <c r="L12" s="9">
        <v>845</v>
      </c>
    </row>
    <row r="13" spans="1:12" x14ac:dyDescent="0.35">
      <c r="H13" s="7" t="s">
        <v>25</v>
      </c>
      <c r="I13" s="8">
        <v>654750</v>
      </c>
    </row>
    <row r="14" spans="1:12" x14ac:dyDescent="0.35">
      <c r="H14" s="7" t="s">
        <v>31</v>
      </c>
      <c r="I14" s="8">
        <v>7868860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4" zoomScale="60" zoomScaleNormal="60" workbookViewId="0">
      <selection activeCell="R64" sqref="R6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workbookViewId="0">
      <selection activeCell="L1" sqref="L1"/>
    </sheetView>
  </sheetViews>
  <sheetFormatPr defaultRowHeight="14.5" x14ac:dyDescent="0.35"/>
  <cols>
    <col min="1" max="1" width="10.08984375" bestFit="1" customWidth="1"/>
    <col min="2" max="2" width="13.26953125" customWidth="1"/>
    <col min="3" max="3" width="8.453125" customWidth="1"/>
    <col min="4" max="4" width="11.36328125" bestFit="1" customWidth="1"/>
    <col min="5" max="5" width="11.1796875" customWidth="1"/>
    <col min="6" max="6" width="10.90625" style="4" customWidth="1"/>
    <col min="7" max="7" width="14.54296875" style="4" customWidth="1"/>
    <col min="8" max="8" width="11.7265625" style="4" bestFit="1" customWidth="1"/>
    <col min="9" max="9" width="10.26953125" style="4" bestFit="1" customWidth="1"/>
    <col min="12" max="12" width="17.453125" customWidth="1"/>
  </cols>
  <sheetData>
    <row r="1" spans="1:12" x14ac:dyDescent="0.35">
      <c r="A1" s="2" t="s">
        <v>0</v>
      </c>
      <c r="B1" s="2" t="s">
        <v>1</v>
      </c>
      <c r="C1" s="2" t="s">
        <v>2</v>
      </c>
      <c r="D1" s="2" t="s">
        <v>3</v>
      </c>
      <c r="E1" s="2" t="s">
        <v>4</v>
      </c>
      <c r="F1" s="3" t="s">
        <v>5</v>
      </c>
      <c r="G1" s="3" t="s">
        <v>6</v>
      </c>
      <c r="H1" s="3" t="s">
        <v>7</v>
      </c>
      <c r="I1" s="3" t="s">
        <v>8</v>
      </c>
      <c r="L1" s="2" t="s">
        <v>31</v>
      </c>
    </row>
    <row r="2" spans="1:12" x14ac:dyDescent="0.35">
      <c r="A2" s="1">
        <v>45658</v>
      </c>
      <c r="B2" t="s">
        <v>9</v>
      </c>
      <c r="C2" t="s">
        <v>10</v>
      </c>
      <c r="D2" t="s">
        <v>11</v>
      </c>
      <c r="E2">
        <v>5</v>
      </c>
      <c r="F2" s="4">
        <v>55000</v>
      </c>
      <c r="G2" s="4">
        <v>220000</v>
      </c>
      <c r="H2" s="4">
        <v>275000</v>
      </c>
      <c r="I2" s="4">
        <v>55000</v>
      </c>
      <c r="L2" s="4">
        <f>SUM(H:H)</f>
        <v>7868860</v>
      </c>
    </row>
    <row r="3" spans="1:12" x14ac:dyDescent="0.35">
      <c r="A3" s="1">
        <v>45659</v>
      </c>
      <c r="B3" t="s">
        <v>12</v>
      </c>
      <c r="C3" t="s">
        <v>13</v>
      </c>
      <c r="D3" t="s">
        <v>14</v>
      </c>
      <c r="E3">
        <v>10</v>
      </c>
      <c r="F3" s="4">
        <v>20000</v>
      </c>
      <c r="G3" s="4">
        <v>150000</v>
      </c>
      <c r="H3" s="4">
        <v>200000</v>
      </c>
      <c r="I3" s="4">
        <v>50000</v>
      </c>
      <c r="L3" s="2" t="s">
        <v>32</v>
      </c>
    </row>
    <row r="4" spans="1:12" x14ac:dyDescent="0.35">
      <c r="A4" s="1">
        <v>45660</v>
      </c>
      <c r="B4" t="s">
        <v>15</v>
      </c>
      <c r="C4" t="s">
        <v>16</v>
      </c>
      <c r="D4" t="s">
        <v>17</v>
      </c>
      <c r="E4">
        <v>8</v>
      </c>
      <c r="F4" s="4">
        <v>30000</v>
      </c>
      <c r="G4" s="4">
        <v>180000</v>
      </c>
      <c r="H4" s="4">
        <v>240000</v>
      </c>
      <c r="I4" s="4">
        <v>60000</v>
      </c>
      <c r="L4" s="4">
        <f>SUM(E:E)</f>
        <v>845</v>
      </c>
    </row>
    <row r="5" spans="1:12" x14ac:dyDescent="0.35">
      <c r="A5" s="1">
        <v>45661</v>
      </c>
      <c r="B5" t="s">
        <v>18</v>
      </c>
      <c r="C5" t="s">
        <v>19</v>
      </c>
      <c r="D5" t="s">
        <v>20</v>
      </c>
      <c r="E5">
        <v>15</v>
      </c>
      <c r="F5" s="4">
        <v>3000</v>
      </c>
      <c r="G5" s="4">
        <v>30000</v>
      </c>
      <c r="H5" s="4">
        <v>45000</v>
      </c>
      <c r="I5" s="4">
        <v>15000</v>
      </c>
      <c r="L5" s="2" t="s">
        <v>8</v>
      </c>
    </row>
    <row r="6" spans="1:12" x14ac:dyDescent="0.35">
      <c r="A6" s="1">
        <v>45662</v>
      </c>
      <c r="B6" t="s">
        <v>21</v>
      </c>
      <c r="C6" t="s">
        <v>10</v>
      </c>
      <c r="D6" t="s">
        <v>22</v>
      </c>
      <c r="E6">
        <v>6</v>
      </c>
      <c r="F6" s="4">
        <v>12000</v>
      </c>
      <c r="G6" s="4">
        <v>54000</v>
      </c>
      <c r="H6" s="4">
        <v>72000</v>
      </c>
      <c r="I6" s="4">
        <v>18000</v>
      </c>
      <c r="L6" s="4">
        <f>SUM(I:I)</f>
        <v>1675860</v>
      </c>
    </row>
    <row r="7" spans="1:12" x14ac:dyDescent="0.35">
      <c r="A7" s="1">
        <v>45663</v>
      </c>
      <c r="B7" t="s">
        <v>23</v>
      </c>
      <c r="C7" t="s">
        <v>13</v>
      </c>
      <c r="D7" t="s">
        <v>24</v>
      </c>
      <c r="E7">
        <v>20</v>
      </c>
      <c r="F7" s="4">
        <v>1500</v>
      </c>
      <c r="G7" s="4">
        <v>20000</v>
      </c>
      <c r="H7" s="4">
        <v>30000</v>
      </c>
      <c r="I7" s="4">
        <v>10000</v>
      </c>
      <c r="L7" s="2" t="s">
        <v>33</v>
      </c>
    </row>
    <row r="8" spans="1:12" x14ac:dyDescent="0.35">
      <c r="A8" s="1">
        <v>45664</v>
      </c>
      <c r="B8" t="s">
        <v>25</v>
      </c>
      <c r="C8" t="s">
        <v>16</v>
      </c>
      <c r="D8" t="s">
        <v>26</v>
      </c>
      <c r="E8">
        <v>25</v>
      </c>
      <c r="F8" s="4">
        <v>800</v>
      </c>
      <c r="G8" s="4">
        <v>15000</v>
      </c>
      <c r="H8" s="4">
        <v>20000</v>
      </c>
      <c r="I8" s="4">
        <v>5000</v>
      </c>
      <c r="L8" s="5">
        <f>AVERAGE(H:H)</f>
        <v>140515.35714285713</v>
      </c>
    </row>
    <row r="9" spans="1:12" x14ac:dyDescent="0.35">
      <c r="A9" s="1">
        <v>45665</v>
      </c>
      <c r="B9" t="s">
        <v>27</v>
      </c>
      <c r="C9" t="s">
        <v>19</v>
      </c>
      <c r="D9" t="s">
        <v>28</v>
      </c>
      <c r="E9">
        <v>4</v>
      </c>
      <c r="F9" s="4">
        <v>18000</v>
      </c>
      <c r="G9" s="4">
        <v>60000</v>
      </c>
      <c r="H9" s="4">
        <v>72000</v>
      </c>
      <c r="I9" s="4">
        <v>12000</v>
      </c>
    </row>
    <row r="10" spans="1:12" x14ac:dyDescent="0.35">
      <c r="A10" s="1">
        <v>45666</v>
      </c>
      <c r="B10" t="s">
        <v>29</v>
      </c>
      <c r="C10" t="s">
        <v>10</v>
      </c>
      <c r="D10" t="s">
        <v>11</v>
      </c>
      <c r="E10">
        <v>3</v>
      </c>
      <c r="F10" s="4">
        <v>60000</v>
      </c>
      <c r="G10" s="4">
        <v>150000</v>
      </c>
      <c r="H10" s="4">
        <v>180000</v>
      </c>
      <c r="I10" s="4">
        <v>30000</v>
      </c>
    </row>
    <row r="11" spans="1:12" x14ac:dyDescent="0.35">
      <c r="A11" s="1">
        <v>45667</v>
      </c>
      <c r="B11" t="s">
        <v>30</v>
      </c>
      <c r="C11" t="s">
        <v>13</v>
      </c>
      <c r="D11" t="s">
        <v>14</v>
      </c>
      <c r="E11">
        <v>12</v>
      </c>
      <c r="F11" s="4">
        <v>22000</v>
      </c>
      <c r="G11" s="4">
        <v>200000</v>
      </c>
      <c r="H11" s="4">
        <v>264000</v>
      </c>
      <c r="I11" s="4">
        <v>64000</v>
      </c>
    </row>
    <row r="12" spans="1:12" x14ac:dyDescent="0.35">
      <c r="A12" s="1">
        <v>45668</v>
      </c>
      <c r="B12" t="s">
        <v>9</v>
      </c>
      <c r="C12" t="s">
        <v>16</v>
      </c>
      <c r="D12" t="s">
        <v>17</v>
      </c>
      <c r="E12">
        <v>7</v>
      </c>
      <c r="F12" s="4">
        <v>28000</v>
      </c>
      <c r="G12" s="4">
        <v>150000</v>
      </c>
      <c r="H12" s="4">
        <v>196000</v>
      </c>
      <c r="I12" s="4">
        <v>46000</v>
      </c>
    </row>
    <row r="13" spans="1:12" x14ac:dyDescent="0.35">
      <c r="A13" s="1">
        <v>45669</v>
      </c>
      <c r="B13" t="s">
        <v>12</v>
      </c>
      <c r="C13" t="s">
        <v>19</v>
      </c>
      <c r="D13" t="s">
        <v>20</v>
      </c>
      <c r="E13">
        <v>18</v>
      </c>
      <c r="F13" s="4">
        <v>3200</v>
      </c>
      <c r="G13" s="4">
        <v>36000</v>
      </c>
      <c r="H13" s="4">
        <v>57600</v>
      </c>
      <c r="I13" s="4">
        <v>21600</v>
      </c>
    </row>
    <row r="14" spans="1:12" x14ac:dyDescent="0.35">
      <c r="A14" s="1">
        <v>45670</v>
      </c>
      <c r="B14" t="s">
        <v>15</v>
      </c>
      <c r="C14" t="s">
        <v>10</v>
      </c>
      <c r="D14" t="s">
        <v>22</v>
      </c>
      <c r="E14">
        <v>5</v>
      </c>
      <c r="F14" s="4">
        <v>13000</v>
      </c>
      <c r="G14" s="4">
        <v>52000</v>
      </c>
      <c r="H14" s="4">
        <v>65000</v>
      </c>
      <c r="I14" s="4">
        <v>13000</v>
      </c>
    </row>
    <row r="15" spans="1:12" x14ac:dyDescent="0.35">
      <c r="A15" s="1">
        <v>45671</v>
      </c>
      <c r="B15" t="s">
        <v>18</v>
      </c>
      <c r="C15" t="s">
        <v>13</v>
      </c>
      <c r="D15" t="s">
        <v>24</v>
      </c>
      <c r="E15">
        <v>22</v>
      </c>
      <c r="F15" s="4">
        <v>1600</v>
      </c>
      <c r="G15" s="4">
        <v>25000</v>
      </c>
      <c r="H15" s="4">
        <v>35200</v>
      </c>
      <c r="I15" s="4">
        <v>10200</v>
      </c>
    </row>
    <row r="16" spans="1:12" x14ac:dyDescent="0.35">
      <c r="A16" s="1">
        <v>45672</v>
      </c>
      <c r="B16" t="s">
        <v>21</v>
      </c>
      <c r="C16" t="s">
        <v>16</v>
      </c>
      <c r="D16" t="s">
        <v>26</v>
      </c>
      <c r="E16">
        <v>30</v>
      </c>
      <c r="F16" s="4">
        <v>850</v>
      </c>
      <c r="G16" s="4">
        <v>18000</v>
      </c>
      <c r="H16" s="4">
        <v>25500</v>
      </c>
      <c r="I16" s="4">
        <v>7500</v>
      </c>
    </row>
    <row r="17" spans="1:9" x14ac:dyDescent="0.35">
      <c r="A17" s="1">
        <v>45673</v>
      </c>
      <c r="B17" t="s">
        <v>23</v>
      </c>
      <c r="C17" t="s">
        <v>19</v>
      </c>
      <c r="D17" t="s">
        <v>28</v>
      </c>
      <c r="E17">
        <v>6</v>
      </c>
      <c r="F17" s="4">
        <v>17500</v>
      </c>
      <c r="G17" s="4">
        <v>90000</v>
      </c>
      <c r="H17" s="4">
        <v>105000</v>
      </c>
      <c r="I17" s="4">
        <v>15000</v>
      </c>
    </row>
    <row r="18" spans="1:9" x14ac:dyDescent="0.35">
      <c r="A18" s="1">
        <v>45674</v>
      </c>
      <c r="B18" t="s">
        <v>25</v>
      </c>
      <c r="C18" t="s">
        <v>10</v>
      </c>
      <c r="D18" t="s">
        <v>11</v>
      </c>
      <c r="E18">
        <v>4</v>
      </c>
      <c r="F18" s="4">
        <v>58000</v>
      </c>
      <c r="G18" s="4">
        <v>190000</v>
      </c>
      <c r="H18" s="4">
        <v>232000</v>
      </c>
      <c r="I18" s="4">
        <v>42000</v>
      </c>
    </row>
    <row r="19" spans="1:9" x14ac:dyDescent="0.35">
      <c r="A19" s="1">
        <v>45675</v>
      </c>
      <c r="B19" t="s">
        <v>27</v>
      </c>
      <c r="C19" t="s">
        <v>13</v>
      </c>
      <c r="D19" t="s">
        <v>14</v>
      </c>
      <c r="E19">
        <v>9</v>
      </c>
      <c r="F19" s="4">
        <v>21000</v>
      </c>
      <c r="G19" s="4">
        <v>160000</v>
      </c>
      <c r="H19" s="4">
        <v>189000</v>
      </c>
      <c r="I19" s="4">
        <v>29000</v>
      </c>
    </row>
    <row r="20" spans="1:9" x14ac:dyDescent="0.35">
      <c r="A20" s="1">
        <v>45676</v>
      </c>
      <c r="B20" t="s">
        <v>29</v>
      </c>
      <c r="C20" t="s">
        <v>16</v>
      </c>
      <c r="D20" t="s">
        <v>17</v>
      </c>
      <c r="E20">
        <v>6</v>
      </c>
      <c r="F20" s="4">
        <v>29500</v>
      </c>
      <c r="G20" s="4">
        <v>140000</v>
      </c>
      <c r="H20" s="4">
        <v>177000</v>
      </c>
      <c r="I20" s="4">
        <v>37000</v>
      </c>
    </row>
    <row r="21" spans="1:9" x14ac:dyDescent="0.35">
      <c r="A21" s="1">
        <v>45677</v>
      </c>
      <c r="B21" t="s">
        <v>30</v>
      </c>
      <c r="C21" t="s">
        <v>19</v>
      </c>
      <c r="D21" t="s">
        <v>20</v>
      </c>
      <c r="E21">
        <v>20</v>
      </c>
      <c r="F21" s="4">
        <v>3100</v>
      </c>
      <c r="G21" s="4">
        <v>42000</v>
      </c>
      <c r="H21" s="4">
        <v>62000</v>
      </c>
      <c r="I21" s="4">
        <v>20000</v>
      </c>
    </row>
    <row r="22" spans="1:9" x14ac:dyDescent="0.35">
      <c r="A22" s="1">
        <v>45678</v>
      </c>
      <c r="B22" t="s">
        <v>9</v>
      </c>
      <c r="C22" t="s">
        <v>10</v>
      </c>
      <c r="D22" t="s">
        <v>22</v>
      </c>
      <c r="E22">
        <v>7</v>
      </c>
      <c r="F22" s="4">
        <v>12500</v>
      </c>
      <c r="G22" s="4">
        <v>70000</v>
      </c>
      <c r="H22" s="4">
        <v>87500</v>
      </c>
      <c r="I22" s="4">
        <v>17500</v>
      </c>
    </row>
    <row r="23" spans="1:9" x14ac:dyDescent="0.35">
      <c r="A23" s="1">
        <v>45679</v>
      </c>
      <c r="B23" t="s">
        <v>12</v>
      </c>
      <c r="C23" t="s">
        <v>13</v>
      </c>
      <c r="D23" t="s">
        <v>24</v>
      </c>
      <c r="E23">
        <v>18</v>
      </c>
      <c r="F23" s="4">
        <v>1550</v>
      </c>
      <c r="G23" s="4">
        <v>24000</v>
      </c>
      <c r="H23" s="4">
        <v>27900</v>
      </c>
      <c r="I23" s="4">
        <v>3900</v>
      </c>
    </row>
    <row r="24" spans="1:9" x14ac:dyDescent="0.35">
      <c r="A24" s="1">
        <v>45680</v>
      </c>
      <c r="B24" t="s">
        <v>15</v>
      </c>
      <c r="C24" t="s">
        <v>16</v>
      </c>
      <c r="D24" t="s">
        <v>26</v>
      </c>
      <c r="E24">
        <v>28</v>
      </c>
      <c r="F24" s="4">
        <v>820</v>
      </c>
      <c r="G24" s="4">
        <v>17000</v>
      </c>
      <c r="H24" s="4">
        <v>22960</v>
      </c>
      <c r="I24" s="4">
        <v>5960</v>
      </c>
    </row>
    <row r="25" spans="1:9" x14ac:dyDescent="0.35">
      <c r="A25" s="1">
        <v>45681</v>
      </c>
      <c r="B25" t="s">
        <v>18</v>
      </c>
      <c r="C25" t="s">
        <v>19</v>
      </c>
      <c r="D25" t="s">
        <v>28</v>
      </c>
      <c r="E25">
        <v>5</v>
      </c>
      <c r="F25" s="4">
        <v>19000</v>
      </c>
      <c r="G25" s="4">
        <v>80000</v>
      </c>
      <c r="H25" s="4">
        <v>95000</v>
      </c>
      <c r="I25" s="4">
        <v>15000</v>
      </c>
    </row>
    <row r="26" spans="1:9" x14ac:dyDescent="0.35">
      <c r="A26" s="1">
        <v>45682</v>
      </c>
      <c r="B26" t="s">
        <v>21</v>
      </c>
      <c r="C26" t="s">
        <v>10</v>
      </c>
      <c r="D26" t="s">
        <v>11</v>
      </c>
      <c r="E26">
        <v>6</v>
      </c>
      <c r="F26" s="4">
        <v>56000</v>
      </c>
      <c r="G26" s="4">
        <v>300000</v>
      </c>
      <c r="H26" s="4">
        <v>336000</v>
      </c>
      <c r="I26" s="4">
        <v>36000</v>
      </c>
    </row>
    <row r="27" spans="1:9" x14ac:dyDescent="0.35">
      <c r="A27" s="1">
        <v>45683</v>
      </c>
      <c r="B27" t="s">
        <v>23</v>
      </c>
      <c r="C27" t="s">
        <v>13</v>
      </c>
      <c r="D27" t="s">
        <v>14</v>
      </c>
      <c r="E27">
        <v>11</v>
      </c>
      <c r="F27" s="4">
        <v>20500</v>
      </c>
      <c r="G27" s="4">
        <v>180000</v>
      </c>
      <c r="H27" s="4">
        <v>225500</v>
      </c>
      <c r="I27" s="4">
        <v>45500</v>
      </c>
    </row>
    <row r="28" spans="1:9" x14ac:dyDescent="0.35">
      <c r="A28" s="1">
        <v>45684</v>
      </c>
      <c r="B28" t="s">
        <v>25</v>
      </c>
      <c r="C28" t="s">
        <v>16</v>
      </c>
      <c r="D28" t="s">
        <v>17</v>
      </c>
      <c r="E28">
        <v>9</v>
      </c>
      <c r="F28" s="4">
        <v>31000</v>
      </c>
      <c r="G28" s="4">
        <v>200000</v>
      </c>
      <c r="H28" s="4">
        <v>279000</v>
      </c>
      <c r="I28" s="4">
        <v>79000</v>
      </c>
    </row>
    <row r="29" spans="1:9" x14ac:dyDescent="0.35">
      <c r="A29" s="1">
        <v>45685</v>
      </c>
      <c r="B29" t="s">
        <v>27</v>
      </c>
      <c r="C29" t="s">
        <v>19</v>
      </c>
      <c r="D29" t="s">
        <v>20</v>
      </c>
      <c r="E29">
        <v>25</v>
      </c>
      <c r="F29" s="4">
        <v>2900</v>
      </c>
      <c r="G29" s="4">
        <v>50000</v>
      </c>
      <c r="H29" s="4">
        <v>72500</v>
      </c>
      <c r="I29" s="4">
        <v>22500</v>
      </c>
    </row>
    <row r="30" spans="1:9" x14ac:dyDescent="0.35">
      <c r="A30" s="1">
        <v>45686</v>
      </c>
      <c r="B30" t="s">
        <v>29</v>
      </c>
      <c r="C30" t="s">
        <v>10</v>
      </c>
      <c r="D30" t="s">
        <v>22</v>
      </c>
      <c r="E30">
        <v>4</v>
      </c>
      <c r="F30" s="4">
        <v>14000</v>
      </c>
      <c r="G30" s="4">
        <v>45000</v>
      </c>
      <c r="H30" s="4">
        <v>56000</v>
      </c>
      <c r="I30" s="4">
        <v>11000</v>
      </c>
    </row>
    <row r="31" spans="1:9" x14ac:dyDescent="0.35">
      <c r="A31" s="1">
        <v>45687</v>
      </c>
      <c r="B31" t="s">
        <v>30</v>
      </c>
      <c r="C31" t="s">
        <v>13</v>
      </c>
      <c r="D31" t="s">
        <v>24</v>
      </c>
      <c r="E31">
        <v>30</v>
      </c>
      <c r="F31" s="4">
        <v>1450</v>
      </c>
      <c r="G31" s="4">
        <v>35000</v>
      </c>
      <c r="H31" s="4">
        <v>43500</v>
      </c>
      <c r="I31" s="4">
        <v>8500</v>
      </c>
    </row>
    <row r="32" spans="1:9" x14ac:dyDescent="0.35">
      <c r="A32" s="1">
        <v>45688</v>
      </c>
      <c r="B32" t="s">
        <v>9</v>
      </c>
      <c r="C32" t="s">
        <v>16</v>
      </c>
      <c r="D32" t="s">
        <v>26</v>
      </c>
      <c r="E32">
        <v>35</v>
      </c>
      <c r="F32" s="4">
        <v>780</v>
      </c>
      <c r="G32" s="4">
        <v>20000</v>
      </c>
      <c r="H32" s="4">
        <v>27300</v>
      </c>
      <c r="I32" s="4">
        <v>7300</v>
      </c>
    </row>
    <row r="33" spans="1:9" x14ac:dyDescent="0.35">
      <c r="A33" s="1">
        <v>45689</v>
      </c>
      <c r="B33" t="s">
        <v>12</v>
      </c>
      <c r="C33" t="s">
        <v>19</v>
      </c>
      <c r="D33" t="s">
        <v>28</v>
      </c>
      <c r="E33">
        <v>7</v>
      </c>
      <c r="F33" s="4">
        <v>18500</v>
      </c>
      <c r="G33" s="4">
        <v>110000</v>
      </c>
      <c r="H33" s="4">
        <v>129500</v>
      </c>
      <c r="I33" s="4">
        <v>19500</v>
      </c>
    </row>
    <row r="34" spans="1:9" x14ac:dyDescent="0.35">
      <c r="A34" s="1">
        <v>45690</v>
      </c>
      <c r="B34" t="s">
        <v>15</v>
      </c>
      <c r="C34" t="s">
        <v>10</v>
      </c>
      <c r="D34" t="s">
        <v>11</v>
      </c>
      <c r="E34">
        <v>5</v>
      </c>
      <c r="F34" s="4">
        <v>59000</v>
      </c>
      <c r="G34" s="4">
        <v>250000</v>
      </c>
      <c r="H34" s="4">
        <v>295000</v>
      </c>
      <c r="I34" s="4">
        <v>45000</v>
      </c>
    </row>
    <row r="35" spans="1:9" x14ac:dyDescent="0.35">
      <c r="A35" s="1">
        <v>45691</v>
      </c>
      <c r="B35" t="s">
        <v>18</v>
      </c>
      <c r="C35" t="s">
        <v>13</v>
      </c>
      <c r="D35" t="s">
        <v>14</v>
      </c>
      <c r="E35">
        <v>13</v>
      </c>
      <c r="F35" s="4">
        <v>21500</v>
      </c>
      <c r="G35" s="4">
        <v>210000</v>
      </c>
      <c r="H35" s="4">
        <v>279500</v>
      </c>
      <c r="I35" s="4">
        <v>69500</v>
      </c>
    </row>
    <row r="36" spans="1:9" x14ac:dyDescent="0.35">
      <c r="A36" s="1">
        <v>45692</v>
      </c>
      <c r="B36" t="s">
        <v>21</v>
      </c>
      <c r="C36" t="s">
        <v>16</v>
      </c>
      <c r="D36" t="s">
        <v>17</v>
      </c>
      <c r="E36">
        <v>8</v>
      </c>
      <c r="F36" s="4">
        <v>32000</v>
      </c>
      <c r="G36" s="4">
        <v>210000</v>
      </c>
      <c r="H36" s="4">
        <v>256000</v>
      </c>
      <c r="I36" s="4">
        <v>46000</v>
      </c>
    </row>
    <row r="37" spans="1:9" x14ac:dyDescent="0.35">
      <c r="A37" s="1">
        <v>45693</v>
      </c>
      <c r="B37" t="s">
        <v>23</v>
      </c>
      <c r="C37" t="s">
        <v>19</v>
      </c>
      <c r="D37" t="s">
        <v>20</v>
      </c>
      <c r="E37">
        <v>22</v>
      </c>
      <c r="F37" s="4">
        <v>3300</v>
      </c>
      <c r="G37" s="4">
        <v>48000</v>
      </c>
      <c r="H37" s="4">
        <v>72600</v>
      </c>
      <c r="I37" s="4">
        <v>24600</v>
      </c>
    </row>
    <row r="38" spans="1:9" x14ac:dyDescent="0.35">
      <c r="A38" s="1">
        <v>45694</v>
      </c>
      <c r="B38" t="s">
        <v>25</v>
      </c>
      <c r="C38" t="s">
        <v>10</v>
      </c>
      <c r="D38" t="s">
        <v>22</v>
      </c>
      <c r="E38">
        <v>6</v>
      </c>
      <c r="F38" s="4">
        <v>13500</v>
      </c>
      <c r="G38" s="4">
        <v>65000</v>
      </c>
      <c r="H38" s="4">
        <v>81000</v>
      </c>
      <c r="I38" s="4">
        <v>16000</v>
      </c>
    </row>
    <row r="39" spans="1:9" x14ac:dyDescent="0.35">
      <c r="A39" s="1">
        <v>45695</v>
      </c>
      <c r="B39" t="s">
        <v>27</v>
      </c>
      <c r="C39" t="s">
        <v>13</v>
      </c>
      <c r="D39" t="s">
        <v>24</v>
      </c>
      <c r="E39">
        <v>25</v>
      </c>
      <c r="F39" s="4">
        <v>1650</v>
      </c>
      <c r="G39" s="4">
        <v>30000</v>
      </c>
      <c r="H39" s="4">
        <v>41250</v>
      </c>
      <c r="I39" s="4">
        <v>11250</v>
      </c>
    </row>
    <row r="40" spans="1:9" x14ac:dyDescent="0.35">
      <c r="A40" s="1">
        <v>45696</v>
      </c>
      <c r="B40" t="s">
        <v>29</v>
      </c>
      <c r="C40" t="s">
        <v>16</v>
      </c>
      <c r="D40" t="s">
        <v>26</v>
      </c>
      <c r="E40">
        <v>40</v>
      </c>
      <c r="F40" s="4">
        <v>900</v>
      </c>
      <c r="G40" s="4">
        <v>25000</v>
      </c>
      <c r="H40" s="4">
        <v>36000</v>
      </c>
      <c r="I40" s="4">
        <v>11000</v>
      </c>
    </row>
    <row r="41" spans="1:9" x14ac:dyDescent="0.35">
      <c r="A41" s="1">
        <v>45697</v>
      </c>
      <c r="B41" t="s">
        <v>30</v>
      </c>
      <c r="C41" t="s">
        <v>19</v>
      </c>
      <c r="D41" t="s">
        <v>28</v>
      </c>
      <c r="E41">
        <v>4</v>
      </c>
      <c r="F41" s="4">
        <v>20000</v>
      </c>
      <c r="G41" s="4">
        <v>70000</v>
      </c>
      <c r="H41" s="4">
        <v>80000</v>
      </c>
      <c r="I41" s="4">
        <v>10000</v>
      </c>
    </row>
    <row r="42" spans="1:9" x14ac:dyDescent="0.35">
      <c r="A42" s="1">
        <v>45698</v>
      </c>
      <c r="B42" t="s">
        <v>9</v>
      </c>
      <c r="C42" t="s">
        <v>10</v>
      </c>
      <c r="D42" t="s">
        <v>11</v>
      </c>
      <c r="E42">
        <v>7</v>
      </c>
      <c r="F42" s="4">
        <v>61000</v>
      </c>
      <c r="G42" s="4">
        <v>380000</v>
      </c>
      <c r="H42" s="4">
        <v>427000</v>
      </c>
      <c r="I42" s="4">
        <v>47000</v>
      </c>
    </row>
    <row r="43" spans="1:9" x14ac:dyDescent="0.35">
      <c r="A43" s="1">
        <v>45699</v>
      </c>
      <c r="B43" t="s">
        <v>12</v>
      </c>
      <c r="C43" t="s">
        <v>13</v>
      </c>
      <c r="D43" t="s">
        <v>14</v>
      </c>
      <c r="E43">
        <v>15</v>
      </c>
      <c r="F43" s="4">
        <v>22500</v>
      </c>
      <c r="G43" s="4">
        <v>260000</v>
      </c>
      <c r="H43" s="4">
        <v>337500</v>
      </c>
      <c r="I43" s="4">
        <v>77500</v>
      </c>
    </row>
    <row r="44" spans="1:9" x14ac:dyDescent="0.35">
      <c r="A44" s="1">
        <v>45700</v>
      </c>
      <c r="B44" t="s">
        <v>15</v>
      </c>
      <c r="C44" t="s">
        <v>16</v>
      </c>
      <c r="D44" t="s">
        <v>17</v>
      </c>
      <c r="E44">
        <v>10</v>
      </c>
      <c r="F44" s="4">
        <v>30000</v>
      </c>
      <c r="G44" s="4">
        <v>220000</v>
      </c>
      <c r="H44" s="4">
        <v>300000</v>
      </c>
      <c r="I44" s="4">
        <v>80000</v>
      </c>
    </row>
    <row r="45" spans="1:9" x14ac:dyDescent="0.35">
      <c r="A45" s="1">
        <v>45701</v>
      </c>
      <c r="B45" t="s">
        <v>18</v>
      </c>
      <c r="C45" t="s">
        <v>19</v>
      </c>
      <c r="D45" t="s">
        <v>20</v>
      </c>
      <c r="E45">
        <v>28</v>
      </c>
      <c r="F45" s="4">
        <v>3100</v>
      </c>
      <c r="G45" s="4">
        <v>55000</v>
      </c>
      <c r="H45" s="4">
        <v>86800</v>
      </c>
      <c r="I45" s="4">
        <v>31800</v>
      </c>
    </row>
    <row r="46" spans="1:9" x14ac:dyDescent="0.35">
      <c r="A46" s="1">
        <v>45702</v>
      </c>
      <c r="B46" t="s">
        <v>21</v>
      </c>
      <c r="C46" t="s">
        <v>10</v>
      </c>
      <c r="D46" t="s">
        <v>22</v>
      </c>
      <c r="E46">
        <v>8</v>
      </c>
      <c r="F46" s="4">
        <v>15000</v>
      </c>
      <c r="G46" s="4">
        <v>90000</v>
      </c>
      <c r="H46" s="4">
        <v>120000</v>
      </c>
      <c r="I46" s="4">
        <v>30000</v>
      </c>
    </row>
    <row r="47" spans="1:9" x14ac:dyDescent="0.35">
      <c r="A47" s="1">
        <v>45703</v>
      </c>
      <c r="B47" t="s">
        <v>23</v>
      </c>
      <c r="C47" t="s">
        <v>13</v>
      </c>
      <c r="D47" t="s">
        <v>24</v>
      </c>
      <c r="E47">
        <v>35</v>
      </c>
      <c r="F47" s="4">
        <v>1700</v>
      </c>
      <c r="G47" s="4">
        <v>40000</v>
      </c>
      <c r="H47" s="4">
        <v>59500</v>
      </c>
      <c r="I47" s="4">
        <v>19500</v>
      </c>
    </row>
    <row r="48" spans="1:9" x14ac:dyDescent="0.35">
      <c r="A48" s="1">
        <v>45704</v>
      </c>
      <c r="B48" t="s">
        <v>25</v>
      </c>
      <c r="C48" t="s">
        <v>16</v>
      </c>
      <c r="D48" t="s">
        <v>26</v>
      </c>
      <c r="E48">
        <v>45</v>
      </c>
      <c r="F48" s="4">
        <v>950</v>
      </c>
      <c r="G48" s="4">
        <v>30000</v>
      </c>
      <c r="H48" s="4">
        <v>42750</v>
      </c>
      <c r="I48" s="4">
        <v>12750</v>
      </c>
    </row>
    <row r="49" spans="1:9" x14ac:dyDescent="0.35">
      <c r="A49" s="1">
        <v>45705</v>
      </c>
      <c r="B49" t="s">
        <v>27</v>
      </c>
      <c r="C49" t="s">
        <v>19</v>
      </c>
      <c r="D49" t="s">
        <v>28</v>
      </c>
      <c r="E49">
        <v>6</v>
      </c>
      <c r="F49" s="4">
        <v>21000</v>
      </c>
      <c r="G49" s="4">
        <v>105000</v>
      </c>
      <c r="H49" s="4">
        <v>126000</v>
      </c>
      <c r="I49" s="4">
        <v>21000</v>
      </c>
    </row>
    <row r="50" spans="1:9" x14ac:dyDescent="0.35">
      <c r="A50" s="1">
        <v>45706</v>
      </c>
      <c r="B50" t="s">
        <v>29</v>
      </c>
      <c r="C50" t="s">
        <v>10</v>
      </c>
      <c r="D50" t="s">
        <v>11</v>
      </c>
      <c r="E50">
        <v>4</v>
      </c>
      <c r="F50" s="4">
        <v>62000</v>
      </c>
      <c r="G50" s="4">
        <v>210000</v>
      </c>
      <c r="H50" s="4">
        <v>248000</v>
      </c>
      <c r="I50" s="4">
        <v>38000</v>
      </c>
    </row>
    <row r="51" spans="1:9" x14ac:dyDescent="0.35">
      <c r="A51" s="1">
        <v>45707</v>
      </c>
      <c r="B51" t="s">
        <v>30</v>
      </c>
      <c r="C51" t="s">
        <v>13</v>
      </c>
      <c r="D51" t="s">
        <v>14</v>
      </c>
      <c r="E51">
        <v>14</v>
      </c>
      <c r="F51" s="4">
        <v>23000</v>
      </c>
      <c r="G51" s="4">
        <v>250000</v>
      </c>
      <c r="H51" s="4">
        <v>322000</v>
      </c>
      <c r="I51" s="4">
        <v>72000</v>
      </c>
    </row>
    <row r="52" spans="1:9" x14ac:dyDescent="0.35">
      <c r="A52" s="1">
        <v>45708</v>
      </c>
      <c r="B52" t="s">
        <v>9</v>
      </c>
      <c r="C52" t="s">
        <v>16</v>
      </c>
      <c r="D52" t="s">
        <v>17</v>
      </c>
      <c r="E52">
        <v>9</v>
      </c>
      <c r="F52" s="4">
        <v>31500</v>
      </c>
      <c r="G52" s="4">
        <v>200000</v>
      </c>
      <c r="H52" s="4">
        <v>283500</v>
      </c>
      <c r="I52" s="4">
        <v>83500</v>
      </c>
    </row>
    <row r="53" spans="1:9" x14ac:dyDescent="0.35">
      <c r="A53" s="1">
        <v>45709</v>
      </c>
      <c r="B53" t="s">
        <v>12</v>
      </c>
      <c r="C53" t="s">
        <v>19</v>
      </c>
      <c r="D53" t="s">
        <v>20</v>
      </c>
      <c r="E53">
        <v>30</v>
      </c>
      <c r="F53" s="4">
        <v>3400</v>
      </c>
      <c r="G53" s="4">
        <v>60000</v>
      </c>
      <c r="H53" s="4">
        <v>102000</v>
      </c>
      <c r="I53" s="4">
        <v>42000</v>
      </c>
    </row>
    <row r="54" spans="1:9" x14ac:dyDescent="0.35">
      <c r="A54" s="1">
        <v>45710</v>
      </c>
      <c r="B54" t="s">
        <v>15</v>
      </c>
      <c r="C54" t="s">
        <v>10</v>
      </c>
      <c r="D54" t="s">
        <v>22</v>
      </c>
      <c r="E54">
        <v>5</v>
      </c>
      <c r="F54" s="4">
        <v>14500</v>
      </c>
      <c r="G54" s="4">
        <v>65000</v>
      </c>
      <c r="H54" s="4">
        <v>72500</v>
      </c>
      <c r="I54" s="4">
        <v>7500</v>
      </c>
    </row>
    <row r="55" spans="1:9" x14ac:dyDescent="0.35">
      <c r="A55" s="1">
        <v>45711</v>
      </c>
      <c r="B55" t="s">
        <v>18</v>
      </c>
      <c r="C55" t="s">
        <v>13</v>
      </c>
      <c r="D55" t="s">
        <v>24</v>
      </c>
      <c r="E55">
        <v>28</v>
      </c>
      <c r="F55" s="4">
        <v>1750</v>
      </c>
      <c r="G55" s="4">
        <v>42000</v>
      </c>
      <c r="H55" s="4">
        <v>49000</v>
      </c>
      <c r="I55" s="4">
        <v>7000</v>
      </c>
    </row>
    <row r="56" spans="1:9" x14ac:dyDescent="0.35">
      <c r="A56" s="1">
        <v>45712</v>
      </c>
      <c r="B56" t="s">
        <v>21</v>
      </c>
      <c r="C56" t="s">
        <v>16</v>
      </c>
      <c r="D56" t="s">
        <v>26</v>
      </c>
      <c r="E56">
        <v>50</v>
      </c>
      <c r="F56" s="4">
        <v>1000</v>
      </c>
      <c r="G56" s="4">
        <v>35000</v>
      </c>
      <c r="H56" s="4">
        <v>50000</v>
      </c>
      <c r="I56" s="4">
        <v>15000</v>
      </c>
    </row>
    <row r="57" spans="1:9" x14ac:dyDescent="0.35">
      <c r="A57" s="1">
        <v>45713</v>
      </c>
      <c r="B57" t="s">
        <v>23</v>
      </c>
      <c r="C57" t="s">
        <v>19</v>
      </c>
      <c r="D57" t="s">
        <v>28</v>
      </c>
      <c r="E57">
        <v>8</v>
      </c>
      <c r="F57" s="4">
        <v>19500</v>
      </c>
      <c r="G57" s="4">
        <v>130000</v>
      </c>
      <c r="H57" s="4">
        <v>156000</v>
      </c>
      <c r="I57" s="4">
        <v>26000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2026-01-06T03:47:57Z</dcterms:created>
  <dcterms:modified xsi:type="dcterms:W3CDTF">2026-01-08T07:08:19Z</dcterms:modified>
</cp:coreProperties>
</file>